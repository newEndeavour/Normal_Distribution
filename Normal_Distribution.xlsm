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125"/>
  <workbookPr date1904="1" showInkAnnotation="0" autoCompressPictures="0"/>
  <bookViews>
    <workbookView xWindow="0" yWindow="0" windowWidth="28740" windowHeight="17540" tabRatio="500"/>
  </bookViews>
  <sheets>
    <sheet name="Normal(m,s)" sheetId="24" r:id="rId1"/>
  </sheets>
  <definedNames>
    <definedName name="ENV_DATA">OFFSET(#REF!,0,0,COUNT(#REF!),1)</definedName>
    <definedName name="FOIL.LINE.A_HELD__WPN" localSheetId="0">'Normal(m,s)'!#REF!</definedName>
    <definedName name="N_ENV_DATA">OFFSET(#REF!,0,0,COUNT(#REF!),1)</definedName>
    <definedName name="N_RAWDATA">OFFSET(#REF!,0,0,COUNT(#REF!),1)</definedName>
    <definedName name="OCCURDATA">OFFSET(#REF!,0,0,COUNT(#REF!),1)</definedName>
    <definedName name="RAWDATA">OFFSET(#REF!,0,0,COUNT(#REF!),1)</definedName>
    <definedName name="REFDATA">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19" i="24" l="1"/>
  <c r="R101" i="24"/>
  <c r="Q101" i="24"/>
  <c r="O101" i="24"/>
  <c r="N101" i="24"/>
  <c r="L101" i="24"/>
  <c r="K101" i="24"/>
  <c r="I101" i="24"/>
  <c r="H101" i="24"/>
  <c r="F101" i="24"/>
  <c r="E101" i="24"/>
  <c r="R100" i="24"/>
  <c r="Q100" i="24"/>
  <c r="O100" i="24"/>
  <c r="N100" i="24"/>
  <c r="L100" i="24"/>
  <c r="K100" i="24"/>
  <c r="I100" i="24"/>
  <c r="H100" i="24"/>
  <c r="F100" i="24"/>
  <c r="E100" i="24"/>
  <c r="R99" i="24"/>
  <c r="Q99" i="24"/>
  <c r="O99" i="24"/>
  <c r="N99" i="24"/>
  <c r="L99" i="24"/>
  <c r="K99" i="24"/>
  <c r="I99" i="24"/>
  <c r="H99" i="24"/>
  <c r="F99" i="24"/>
  <c r="E99" i="24"/>
  <c r="R98" i="24"/>
  <c r="Q98" i="24"/>
  <c r="O98" i="24"/>
  <c r="N98" i="24"/>
  <c r="L98" i="24"/>
  <c r="K98" i="24"/>
  <c r="I98" i="24"/>
  <c r="H98" i="24"/>
  <c r="F98" i="24"/>
  <c r="E98" i="24"/>
  <c r="R97" i="24"/>
  <c r="Q97" i="24"/>
  <c r="O97" i="24"/>
  <c r="N97" i="24"/>
  <c r="L97" i="24"/>
  <c r="K97" i="24"/>
  <c r="I97" i="24"/>
  <c r="H97" i="24"/>
  <c r="F97" i="24"/>
  <c r="E97" i="24"/>
  <c r="R96" i="24"/>
  <c r="Q96" i="24"/>
  <c r="O96" i="24"/>
  <c r="N96" i="24"/>
  <c r="L96" i="24"/>
  <c r="K96" i="24"/>
  <c r="I96" i="24"/>
  <c r="H96" i="24"/>
  <c r="F96" i="24"/>
  <c r="E96" i="24"/>
  <c r="R95" i="24"/>
  <c r="Q95" i="24"/>
  <c r="O95" i="24"/>
  <c r="N95" i="24"/>
  <c r="L95" i="24"/>
  <c r="K95" i="24"/>
  <c r="I95" i="24"/>
  <c r="H95" i="24"/>
  <c r="F95" i="24"/>
  <c r="E95" i="24"/>
  <c r="R94" i="24"/>
  <c r="Q94" i="24"/>
  <c r="O94" i="24"/>
  <c r="N94" i="24"/>
  <c r="L94" i="24"/>
  <c r="K94" i="24"/>
  <c r="I94" i="24"/>
  <c r="H94" i="24"/>
  <c r="F94" i="24"/>
  <c r="E94" i="24"/>
  <c r="R93" i="24"/>
  <c r="Q93" i="24"/>
  <c r="O93" i="24"/>
  <c r="N93" i="24"/>
  <c r="L93" i="24"/>
  <c r="K93" i="24"/>
  <c r="I93" i="24"/>
  <c r="H93" i="24"/>
  <c r="F93" i="24"/>
  <c r="E93" i="24"/>
  <c r="R92" i="24"/>
  <c r="Q92" i="24"/>
  <c r="O92" i="24"/>
  <c r="N92" i="24"/>
  <c r="L92" i="24"/>
  <c r="K92" i="24"/>
  <c r="I92" i="24"/>
  <c r="H92" i="24"/>
  <c r="F92" i="24"/>
  <c r="E92" i="24"/>
  <c r="R91" i="24"/>
  <c r="Q91" i="24"/>
  <c r="O91" i="24"/>
  <c r="N91" i="24"/>
  <c r="L91" i="24"/>
  <c r="K91" i="24"/>
  <c r="I91" i="24"/>
  <c r="H91" i="24"/>
  <c r="F91" i="24"/>
  <c r="E91" i="24"/>
  <c r="R90" i="24"/>
  <c r="Q90" i="24"/>
  <c r="O90" i="24"/>
  <c r="N90" i="24"/>
  <c r="L90" i="24"/>
  <c r="K90" i="24"/>
  <c r="I90" i="24"/>
  <c r="H90" i="24"/>
  <c r="F90" i="24"/>
  <c r="E90" i="24"/>
  <c r="R89" i="24"/>
  <c r="Q89" i="24"/>
  <c r="O89" i="24"/>
  <c r="N89" i="24"/>
  <c r="L89" i="24"/>
  <c r="K89" i="24"/>
  <c r="I89" i="24"/>
  <c r="H89" i="24"/>
  <c r="F89" i="24"/>
  <c r="E89" i="24"/>
  <c r="R88" i="24"/>
  <c r="Q88" i="24"/>
  <c r="O88" i="24"/>
  <c r="N88" i="24"/>
  <c r="L88" i="24"/>
  <c r="K88" i="24"/>
  <c r="I88" i="24"/>
  <c r="H88" i="24"/>
  <c r="F88" i="24"/>
  <c r="E88" i="24"/>
  <c r="R87" i="24"/>
  <c r="Q87" i="24"/>
  <c r="O87" i="24"/>
  <c r="N87" i="24"/>
  <c r="L87" i="24"/>
  <c r="K87" i="24"/>
  <c r="I87" i="24"/>
  <c r="H87" i="24"/>
  <c r="F87" i="24"/>
  <c r="E87" i="24"/>
  <c r="R86" i="24"/>
  <c r="Q86" i="24"/>
  <c r="O86" i="24"/>
  <c r="N86" i="24"/>
  <c r="L86" i="24"/>
  <c r="K86" i="24"/>
  <c r="I86" i="24"/>
  <c r="H86" i="24"/>
  <c r="F86" i="24"/>
  <c r="E86" i="24"/>
  <c r="R85" i="24"/>
  <c r="Q85" i="24"/>
  <c r="O85" i="24"/>
  <c r="N85" i="24"/>
  <c r="L85" i="24"/>
  <c r="K85" i="24"/>
  <c r="I85" i="24"/>
  <c r="H85" i="24"/>
  <c r="F85" i="24"/>
  <c r="E85" i="24"/>
  <c r="R84" i="24"/>
  <c r="Q84" i="24"/>
  <c r="O84" i="24"/>
  <c r="N84" i="24"/>
  <c r="L84" i="24"/>
  <c r="K84" i="24"/>
  <c r="I84" i="24"/>
  <c r="H84" i="24"/>
  <c r="F84" i="24"/>
  <c r="E84" i="24"/>
  <c r="R83" i="24"/>
  <c r="Q83" i="24"/>
  <c r="O83" i="24"/>
  <c r="N83" i="24"/>
  <c r="L83" i="24"/>
  <c r="K83" i="24"/>
  <c r="I83" i="24"/>
  <c r="H83" i="24"/>
  <c r="F83" i="24"/>
  <c r="E83" i="24"/>
  <c r="R82" i="24"/>
  <c r="Q82" i="24"/>
  <c r="O82" i="24"/>
  <c r="N82" i="24"/>
  <c r="L82" i="24"/>
  <c r="K82" i="24"/>
  <c r="I82" i="24"/>
  <c r="H82" i="24"/>
  <c r="F82" i="24"/>
  <c r="E82" i="24"/>
  <c r="R81" i="24"/>
  <c r="Q81" i="24"/>
  <c r="O81" i="24"/>
  <c r="N81" i="24"/>
  <c r="L81" i="24"/>
  <c r="K81" i="24"/>
  <c r="I81" i="24"/>
  <c r="H81" i="24"/>
  <c r="F81" i="24"/>
  <c r="E81" i="24"/>
  <c r="R80" i="24"/>
  <c r="Q80" i="24"/>
  <c r="O80" i="24"/>
  <c r="N80" i="24"/>
  <c r="L80" i="24"/>
  <c r="K80" i="24"/>
  <c r="I80" i="24"/>
  <c r="H80" i="24"/>
  <c r="F80" i="24"/>
  <c r="E80" i="24"/>
  <c r="R79" i="24"/>
  <c r="Q79" i="24"/>
  <c r="O79" i="24"/>
  <c r="N79" i="24"/>
  <c r="L79" i="24"/>
  <c r="K79" i="24"/>
  <c r="I79" i="24"/>
  <c r="H79" i="24"/>
  <c r="F79" i="24"/>
  <c r="E79" i="24"/>
  <c r="R78" i="24"/>
  <c r="Q78" i="24"/>
  <c r="O78" i="24"/>
  <c r="N78" i="24"/>
  <c r="L78" i="24"/>
  <c r="K78" i="24"/>
  <c r="I78" i="24"/>
  <c r="H78" i="24"/>
  <c r="F78" i="24"/>
  <c r="E78" i="24"/>
  <c r="R77" i="24"/>
  <c r="Q77" i="24"/>
  <c r="O77" i="24"/>
  <c r="N77" i="24"/>
  <c r="L77" i="24"/>
  <c r="K77" i="24"/>
  <c r="I77" i="24"/>
  <c r="H77" i="24"/>
  <c r="F77" i="24"/>
  <c r="E77" i="24"/>
  <c r="R76" i="24"/>
  <c r="Q76" i="24"/>
  <c r="O76" i="24"/>
  <c r="N76" i="24"/>
  <c r="L76" i="24"/>
  <c r="K76" i="24"/>
  <c r="I76" i="24"/>
  <c r="H76" i="24"/>
  <c r="F76" i="24"/>
  <c r="E76" i="24"/>
  <c r="R75" i="24"/>
  <c r="Q75" i="24"/>
  <c r="O75" i="24"/>
  <c r="N75" i="24"/>
  <c r="L75" i="24"/>
  <c r="K75" i="24"/>
  <c r="I75" i="24"/>
  <c r="H75" i="24"/>
  <c r="F75" i="24"/>
  <c r="E75" i="24"/>
  <c r="R74" i="24"/>
  <c r="Q74" i="24"/>
  <c r="O74" i="24"/>
  <c r="N74" i="24"/>
  <c r="L74" i="24"/>
  <c r="K74" i="24"/>
  <c r="I74" i="24"/>
  <c r="H74" i="24"/>
  <c r="F74" i="24"/>
  <c r="E74" i="24"/>
  <c r="R73" i="24"/>
  <c r="Q73" i="24"/>
  <c r="O73" i="24"/>
  <c r="N73" i="24"/>
  <c r="L73" i="24"/>
  <c r="K73" i="24"/>
  <c r="I73" i="24"/>
  <c r="H73" i="24"/>
  <c r="F73" i="24"/>
  <c r="E73" i="24"/>
  <c r="R72" i="24"/>
  <c r="Q72" i="24"/>
  <c r="O72" i="24"/>
  <c r="N72" i="24"/>
  <c r="L72" i="24"/>
  <c r="K72" i="24"/>
  <c r="I72" i="24"/>
  <c r="H72" i="24"/>
  <c r="F72" i="24"/>
  <c r="E72" i="24"/>
  <c r="R71" i="24"/>
  <c r="Q71" i="24"/>
  <c r="O71" i="24"/>
  <c r="N71" i="24"/>
  <c r="L71" i="24"/>
  <c r="K71" i="24"/>
  <c r="I71" i="24"/>
  <c r="H71" i="24"/>
  <c r="F71" i="24"/>
  <c r="E71" i="24"/>
  <c r="R70" i="24"/>
  <c r="Q70" i="24"/>
  <c r="O70" i="24"/>
  <c r="N70" i="24"/>
  <c r="L70" i="24"/>
  <c r="K70" i="24"/>
  <c r="I70" i="24"/>
  <c r="H70" i="24"/>
  <c r="F70" i="24"/>
  <c r="E70" i="24"/>
  <c r="R69" i="24"/>
  <c r="Q69" i="24"/>
  <c r="O69" i="24"/>
  <c r="N69" i="24"/>
  <c r="L69" i="24"/>
  <c r="K69" i="24"/>
  <c r="I69" i="24"/>
  <c r="H69" i="24"/>
  <c r="F69" i="24"/>
  <c r="E69" i="24"/>
  <c r="R68" i="24"/>
  <c r="Q68" i="24"/>
  <c r="O68" i="24"/>
  <c r="N68" i="24"/>
  <c r="L68" i="24"/>
  <c r="K68" i="24"/>
  <c r="I68" i="24"/>
  <c r="H68" i="24"/>
  <c r="F68" i="24"/>
  <c r="E68" i="24"/>
  <c r="R67" i="24"/>
  <c r="Q67" i="24"/>
  <c r="O67" i="24"/>
  <c r="N67" i="24"/>
  <c r="L67" i="24"/>
  <c r="K67" i="24"/>
  <c r="I67" i="24"/>
  <c r="H67" i="24"/>
  <c r="F67" i="24"/>
  <c r="E67" i="24"/>
  <c r="R66" i="24"/>
  <c r="Q66" i="24"/>
  <c r="O66" i="24"/>
  <c r="N66" i="24"/>
  <c r="L66" i="24"/>
  <c r="K66" i="24"/>
  <c r="I66" i="24"/>
  <c r="H66" i="24"/>
  <c r="F66" i="24"/>
  <c r="E66" i="24"/>
  <c r="R65" i="24"/>
  <c r="Q65" i="24"/>
  <c r="O65" i="24"/>
  <c r="N65" i="24"/>
  <c r="L65" i="24"/>
  <c r="K65" i="24"/>
  <c r="I65" i="24"/>
  <c r="H65" i="24"/>
  <c r="F65" i="24"/>
  <c r="E65" i="24"/>
  <c r="R64" i="24"/>
  <c r="Q64" i="24"/>
  <c r="O64" i="24"/>
  <c r="N64" i="24"/>
  <c r="L64" i="24"/>
  <c r="K64" i="24"/>
  <c r="I64" i="24"/>
  <c r="H64" i="24"/>
  <c r="F64" i="24"/>
  <c r="E64" i="24"/>
  <c r="R63" i="24"/>
  <c r="Q63" i="24"/>
  <c r="O63" i="24"/>
  <c r="N63" i="24"/>
  <c r="L63" i="24"/>
  <c r="K63" i="24"/>
  <c r="I63" i="24"/>
  <c r="H63" i="24"/>
  <c r="F63" i="24"/>
  <c r="E63" i="24"/>
  <c r="R62" i="24"/>
  <c r="Q62" i="24"/>
  <c r="O62" i="24"/>
  <c r="N62" i="24"/>
  <c r="L62" i="24"/>
  <c r="K62" i="24"/>
  <c r="I62" i="24"/>
  <c r="H62" i="24"/>
  <c r="F62" i="24"/>
  <c r="E62" i="24"/>
  <c r="R61" i="24"/>
  <c r="Q61" i="24"/>
  <c r="O61" i="24"/>
  <c r="N61" i="24"/>
  <c r="L61" i="24"/>
  <c r="K61" i="24"/>
  <c r="I61" i="24"/>
  <c r="H61" i="24"/>
  <c r="F61" i="24"/>
  <c r="E61" i="24"/>
  <c r="R60" i="24"/>
  <c r="Q60" i="24"/>
  <c r="O60" i="24"/>
  <c r="N60" i="24"/>
  <c r="L60" i="24"/>
  <c r="K60" i="24"/>
  <c r="I60" i="24"/>
  <c r="H60" i="24"/>
  <c r="F60" i="24"/>
  <c r="E60" i="24"/>
  <c r="R59" i="24"/>
  <c r="Q59" i="24"/>
  <c r="O59" i="24"/>
  <c r="N59" i="24"/>
  <c r="L59" i="24"/>
  <c r="K59" i="24"/>
  <c r="I59" i="24"/>
  <c r="H59" i="24"/>
  <c r="F59" i="24"/>
  <c r="E59" i="24"/>
  <c r="R58" i="24"/>
  <c r="Q58" i="24"/>
  <c r="O58" i="24"/>
  <c r="N58" i="24"/>
  <c r="L58" i="24"/>
  <c r="K58" i="24"/>
  <c r="I58" i="24"/>
  <c r="H58" i="24"/>
  <c r="F58" i="24"/>
  <c r="E58" i="24"/>
  <c r="R57" i="24"/>
  <c r="Q57" i="24"/>
  <c r="O57" i="24"/>
  <c r="N57" i="24"/>
  <c r="L57" i="24"/>
  <c r="K57" i="24"/>
  <c r="I57" i="24"/>
  <c r="H57" i="24"/>
  <c r="F57" i="24"/>
  <c r="E57" i="24"/>
  <c r="R56" i="24"/>
  <c r="Q56" i="24"/>
  <c r="O56" i="24"/>
  <c r="N56" i="24"/>
  <c r="L56" i="24"/>
  <c r="K56" i="24"/>
  <c r="I56" i="24"/>
  <c r="H56" i="24"/>
  <c r="F56" i="24"/>
  <c r="E56" i="24"/>
  <c r="R55" i="24"/>
  <c r="Q55" i="24"/>
  <c r="O55" i="24"/>
  <c r="N55" i="24"/>
  <c r="L55" i="24"/>
  <c r="K55" i="24"/>
  <c r="I55" i="24"/>
  <c r="H55" i="24"/>
  <c r="F55" i="24"/>
  <c r="E55" i="24"/>
  <c r="R54" i="24"/>
  <c r="Q54" i="24"/>
  <c r="O54" i="24"/>
  <c r="N54" i="24"/>
  <c r="L54" i="24"/>
  <c r="K54" i="24"/>
  <c r="I54" i="24"/>
  <c r="H54" i="24"/>
  <c r="F54" i="24"/>
  <c r="E54" i="24"/>
  <c r="R53" i="24"/>
  <c r="Q53" i="24"/>
  <c r="O53" i="24"/>
  <c r="N53" i="24"/>
  <c r="L53" i="24"/>
  <c r="K53" i="24"/>
  <c r="I53" i="24"/>
  <c r="H53" i="24"/>
  <c r="F53" i="24"/>
  <c r="E53" i="24"/>
  <c r="R52" i="24"/>
  <c r="Q52" i="24"/>
  <c r="O52" i="24"/>
  <c r="N52" i="24"/>
  <c r="L52" i="24"/>
  <c r="K52" i="24"/>
  <c r="I52" i="24"/>
  <c r="H52" i="24"/>
  <c r="F52" i="24"/>
  <c r="E52" i="24"/>
  <c r="R51" i="24"/>
  <c r="Q51" i="24"/>
  <c r="O51" i="24"/>
  <c r="N51" i="24"/>
  <c r="L51" i="24"/>
  <c r="K51" i="24"/>
  <c r="I51" i="24"/>
  <c r="H51" i="24"/>
  <c r="F51" i="24"/>
  <c r="E51" i="24"/>
  <c r="R50" i="24"/>
  <c r="Q50" i="24"/>
  <c r="O50" i="24"/>
  <c r="N50" i="24"/>
  <c r="L50" i="24"/>
  <c r="K50" i="24"/>
  <c r="I50" i="24"/>
  <c r="H50" i="24"/>
  <c r="F50" i="24"/>
  <c r="E50" i="24"/>
  <c r="R49" i="24"/>
  <c r="Q49" i="24"/>
  <c r="O49" i="24"/>
  <c r="N49" i="24"/>
  <c r="L49" i="24"/>
  <c r="K49" i="24"/>
  <c r="I49" i="24"/>
  <c r="H49" i="24"/>
  <c r="F49" i="24"/>
  <c r="E49" i="24"/>
  <c r="R48" i="24"/>
  <c r="Q48" i="24"/>
  <c r="O48" i="24"/>
  <c r="N48" i="24"/>
  <c r="L48" i="24"/>
  <c r="K48" i="24"/>
  <c r="I48" i="24"/>
  <c r="H48" i="24"/>
  <c r="F48" i="24"/>
  <c r="E48" i="24"/>
  <c r="R47" i="24"/>
  <c r="Q47" i="24"/>
  <c r="O47" i="24"/>
  <c r="N47" i="24"/>
  <c r="L47" i="24"/>
  <c r="K47" i="24"/>
  <c r="I47" i="24"/>
  <c r="H47" i="24"/>
  <c r="F47" i="24"/>
  <c r="E47" i="24"/>
  <c r="R46" i="24"/>
  <c r="Q46" i="24"/>
  <c r="O46" i="24"/>
  <c r="N46" i="24"/>
  <c r="L46" i="24"/>
  <c r="K46" i="24"/>
  <c r="I46" i="24"/>
  <c r="H46" i="24"/>
  <c r="F46" i="24"/>
  <c r="E46" i="24"/>
  <c r="R45" i="24"/>
  <c r="Q45" i="24"/>
  <c r="O45" i="24"/>
  <c r="N45" i="24"/>
  <c r="L45" i="24"/>
  <c r="K45" i="24"/>
  <c r="I45" i="24"/>
  <c r="H45" i="24"/>
  <c r="F45" i="24"/>
  <c r="E45" i="24"/>
  <c r="R44" i="24"/>
  <c r="Q44" i="24"/>
  <c r="O44" i="24"/>
  <c r="N44" i="24"/>
  <c r="L44" i="24"/>
  <c r="K44" i="24"/>
  <c r="I44" i="24"/>
  <c r="H44" i="24"/>
  <c r="F44" i="24"/>
  <c r="E44" i="24"/>
  <c r="R43" i="24"/>
  <c r="Q43" i="24"/>
  <c r="O43" i="24"/>
  <c r="N43" i="24"/>
  <c r="L43" i="24"/>
  <c r="K43" i="24"/>
  <c r="I43" i="24"/>
  <c r="H43" i="24"/>
  <c r="F43" i="24"/>
  <c r="E43" i="24"/>
  <c r="R42" i="24"/>
  <c r="Q42" i="24"/>
  <c r="O42" i="24"/>
  <c r="N42" i="24"/>
  <c r="L42" i="24"/>
  <c r="K42" i="24"/>
  <c r="I42" i="24"/>
  <c r="H42" i="24"/>
  <c r="F42" i="24"/>
  <c r="E42" i="24"/>
  <c r="R41" i="24"/>
  <c r="Q41" i="24"/>
  <c r="O41" i="24"/>
  <c r="N41" i="24"/>
  <c r="L41" i="24"/>
  <c r="K41" i="24"/>
  <c r="I41" i="24"/>
  <c r="H41" i="24"/>
  <c r="F41" i="24"/>
  <c r="E41" i="24"/>
  <c r="R40" i="24"/>
  <c r="Q40" i="24"/>
  <c r="O40" i="24"/>
  <c r="N40" i="24"/>
  <c r="L40" i="24"/>
  <c r="K40" i="24"/>
  <c r="I40" i="24"/>
  <c r="H40" i="24"/>
  <c r="F40" i="24"/>
  <c r="E40" i="24"/>
  <c r="R39" i="24"/>
  <c r="Q39" i="24"/>
  <c r="O39" i="24"/>
  <c r="N39" i="24"/>
  <c r="L39" i="24"/>
  <c r="K39" i="24"/>
  <c r="I39" i="24"/>
  <c r="H39" i="24"/>
  <c r="F39" i="24"/>
  <c r="E39" i="24"/>
  <c r="R38" i="24"/>
  <c r="Q38" i="24"/>
  <c r="O38" i="24"/>
  <c r="N38" i="24"/>
  <c r="L38" i="24"/>
  <c r="K38" i="24"/>
  <c r="I38" i="24"/>
  <c r="H38" i="24"/>
  <c r="F38" i="24"/>
  <c r="E38" i="24"/>
  <c r="R37" i="24"/>
  <c r="Q37" i="24"/>
  <c r="O37" i="24"/>
  <c r="N37" i="24"/>
  <c r="L37" i="24"/>
  <c r="K37" i="24"/>
  <c r="I37" i="24"/>
  <c r="H37" i="24"/>
  <c r="F37" i="24"/>
  <c r="E37" i="24"/>
  <c r="R36" i="24"/>
  <c r="Q36" i="24"/>
  <c r="O36" i="24"/>
  <c r="N36" i="24"/>
  <c r="L36" i="24"/>
  <c r="K36" i="24"/>
  <c r="I36" i="24"/>
  <c r="H36" i="24"/>
  <c r="F36" i="24"/>
  <c r="E36" i="24"/>
  <c r="R35" i="24"/>
  <c r="Q35" i="24"/>
  <c r="O35" i="24"/>
  <c r="N35" i="24"/>
  <c r="L35" i="24"/>
  <c r="K35" i="24"/>
  <c r="I35" i="24"/>
  <c r="H35" i="24"/>
  <c r="F35" i="24"/>
  <c r="E35" i="24"/>
  <c r="R34" i="24"/>
  <c r="Q34" i="24"/>
  <c r="O34" i="24"/>
  <c r="N34" i="24"/>
  <c r="L34" i="24"/>
  <c r="K34" i="24"/>
  <c r="I34" i="24"/>
  <c r="H34" i="24"/>
  <c r="F34" i="24"/>
  <c r="E34" i="24"/>
  <c r="R33" i="24"/>
  <c r="Q33" i="24"/>
  <c r="O33" i="24"/>
  <c r="N33" i="24"/>
  <c r="L33" i="24"/>
  <c r="K33" i="24"/>
  <c r="I33" i="24"/>
  <c r="H33" i="24"/>
  <c r="F33" i="24"/>
  <c r="E33" i="24"/>
  <c r="R32" i="24"/>
  <c r="Q32" i="24"/>
  <c r="O32" i="24"/>
  <c r="N32" i="24"/>
  <c r="L32" i="24"/>
  <c r="K32" i="24"/>
  <c r="I32" i="24"/>
  <c r="H32" i="24"/>
  <c r="F32" i="24"/>
  <c r="E32" i="24"/>
  <c r="R31" i="24"/>
  <c r="Q31" i="24"/>
  <c r="O31" i="24"/>
  <c r="N31" i="24"/>
  <c r="L31" i="24"/>
  <c r="K31" i="24"/>
  <c r="I31" i="24"/>
  <c r="H31" i="24"/>
  <c r="F31" i="24"/>
  <c r="E31" i="24"/>
  <c r="R30" i="24"/>
  <c r="Q30" i="24"/>
  <c r="O30" i="24"/>
  <c r="N30" i="24"/>
  <c r="L30" i="24"/>
  <c r="K30" i="24"/>
  <c r="I30" i="24"/>
  <c r="H30" i="24"/>
  <c r="F30" i="24"/>
  <c r="E30" i="24"/>
  <c r="R29" i="24"/>
  <c r="Q29" i="24"/>
  <c r="O29" i="24"/>
  <c r="N29" i="24"/>
  <c r="L29" i="24"/>
  <c r="K29" i="24"/>
  <c r="I29" i="24"/>
  <c r="H29" i="24"/>
  <c r="F29" i="24"/>
  <c r="E29" i="24"/>
  <c r="R28" i="24"/>
  <c r="Q28" i="24"/>
  <c r="O28" i="24"/>
  <c r="N28" i="24"/>
  <c r="L28" i="24"/>
  <c r="K28" i="24"/>
  <c r="I28" i="24"/>
  <c r="H28" i="24"/>
  <c r="F28" i="24"/>
  <c r="E28" i="24"/>
  <c r="R27" i="24"/>
  <c r="Q27" i="24"/>
  <c r="O27" i="24"/>
  <c r="N27" i="24"/>
  <c r="L27" i="24"/>
  <c r="K27" i="24"/>
  <c r="I27" i="24"/>
  <c r="H27" i="24"/>
  <c r="F27" i="24"/>
  <c r="E27" i="24"/>
  <c r="R26" i="24"/>
  <c r="Q26" i="24"/>
  <c r="O26" i="24"/>
  <c r="N26" i="24"/>
  <c r="L26" i="24"/>
  <c r="K26" i="24"/>
  <c r="I26" i="24"/>
  <c r="H26" i="24"/>
  <c r="F26" i="24"/>
  <c r="E26" i="24"/>
  <c r="R25" i="24"/>
  <c r="Q25" i="24"/>
  <c r="O25" i="24"/>
  <c r="N25" i="24"/>
  <c r="L25" i="24"/>
  <c r="K25" i="24"/>
  <c r="I25" i="24"/>
  <c r="H25" i="24"/>
  <c r="F25" i="24"/>
  <c r="E25" i="24"/>
  <c r="R24" i="24"/>
  <c r="Q24" i="24"/>
  <c r="O24" i="24"/>
  <c r="N24" i="24"/>
  <c r="L24" i="24"/>
  <c r="K24" i="24"/>
  <c r="I24" i="24"/>
  <c r="H24" i="24"/>
  <c r="F24" i="24"/>
  <c r="E24" i="24"/>
  <c r="R23" i="24"/>
  <c r="Q23" i="24"/>
  <c r="O23" i="24"/>
  <c r="N23" i="24"/>
  <c r="L23" i="24"/>
  <c r="K23" i="24"/>
  <c r="I23" i="24"/>
  <c r="H23" i="24"/>
  <c r="F23" i="24"/>
  <c r="E23" i="24"/>
  <c r="R22" i="24"/>
  <c r="Q22" i="24"/>
  <c r="O22" i="24"/>
  <c r="N22" i="24"/>
  <c r="L22" i="24"/>
  <c r="K22" i="24"/>
  <c r="I22" i="24"/>
  <c r="H22" i="24"/>
  <c r="F22" i="24"/>
  <c r="E22" i="24"/>
  <c r="R21" i="24"/>
  <c r="Q21" i="24"/>
  <c r="O21" i="24"/>
  <c r="N21" i="24"/>
  <c r="L21" i="24"/>
  <c r="K21" i="24"/>
  <c r="I21" i="24"/>
  <c r="H21" i="24"/>
  <c r="F21" i="24"/>
  <c r="E21" i="24"/>
  <c r="R20" i="24"/>
  <c r="Q20" i="24"/>
  <c r="O20" i="24"/>
  <c r="N20" i="24"/>
  <c r="L20" i="24"/>
  <c r="K20" i="24"/>
  <c r="I20" i="24"/>
  <c r="H20" i="24"/>
  <c r="F20" i="24"/>
  <c r="E20" i="24"/>
  <c r="R19" i="24"/>
  <c r="O19" i="24"/>
  <c r="N19" i="24"/>
  <c r="L19" i="24"/>
  <c r="K19" i="24"/>
  <c r="I19" i="24"/>
  <c r="H19" i="24"/>
  <c r="F19" i="24"/>
  <c r="E19" i="24"/>
  <c r="R18" i="24"/>
  <c r="Q18" i="24"/>
  <c r="O18" i="24"/>
  <c r="N18" i="24"/>
  <c r="L18" i="24"/>
  <c r="K18" i="24"/>
  <c r="I18" i="24"/>
  <c r="H18" i="24"/>
  <c r="F18" i="24"/>
  <c r="E18" i="24"/>
  <c r="R17" i="24"/>
  <c r="Q17" i="24"/>
  <c r="O17" i="24"/>
  <c r="N17" i="24"/>
  <c r="L17" i="24"/>
  <c r="K17" i="24"/>
  <c r="I17" i="24"/>
  <c r="H17" i="24"/>
  <c r="F17" i="24"/>
  <c r="E17" i="24"/>
  <c r="R16" i="24"/>
  <c r="Q16" i="24"/>
  <c r="O16" i="24"/>
  <c r="N16" i="24"/>
  <c r="L16" i="24"/>
  <c r="K16" i="24"/>
  <c r="I16" i="24"/>
  <c r="H16" i="24"/>
  <c r="F16" i="24"/>
  <c r="E16" i="24"/>
  <c r="R15" i="24"/>
  <c r="Q15" i="24"/>
  <c r="O15" i="24"/>
  <c r="N15" i="24"/>
  <c r="L15" i="24"/>
  <c r="K15" i="24"/>
  <c r="I15" i="24"/>
  <c r="H15" i="24"/>
  <c r="F15" i="24"/>
  <c r="E15" i="24"/>
  <c r="R14" i="24"/>
  <c r="Q14" i="24"/>
  <c r="O14" i="24"/>
  <c r="N14" i="24"/>
  <c r="L14" i="24"/>
  <c r="K14" i="24"/>
  <c r="I14" i="24"/>
  <c r="H14" i="24"/>
  <c r="F14" i="24"/>
  <c r="E14" i="24"/>
  <c r="R13" i="24"/>
  <c r="Q13" i="24"/>
  <c r="O13" i="24"/>
  <c r="N13" i="24"/>
  <c r="L13" i="24"/>
  <c r="K13" i="24"/>
  <c r="I13" i="24"/>
  <c r="H13" i="24"/>
  <c r="F13" i="24"/>
  <c r="E13" i="24"/>
  <c r="R12" i="24"/>
  <c r="Q12" i="24"/>
  <c r="O12" i="24"/>
  <c r="N12" i="24"/>
  <c r="L12" i="24"/>
  <c r="K12" i="24"/>
  <c r="I12" i="24"/>
  <c r="H12" i="24"/>
  <c r="F12" i="24"/>
  <c r="E12" i="24"/>
  <c r="R11" i="24"/>
  <c r="Q11" i="24"/>
  <c r="O11" i="24"/>
  <c r="N11" i="24"/>
  <c r="L11" i="24"/>
  <c r="K11" i="24"/>
  <c r="I11" i="24"/>
  <c r="H11" i="24"/>
  <c r="F11" i="24"/>
  <c r="E11" i="24"/>
  <c r="R10" i="24"/>
  <c r="Q10" i="24"/>
  <c r="O10" i="24"/>
  <c r="N10" i="24"/>
  <c r="L10" i="24"/>
  <c r="K10" i="24"/>
  <c r="I10" i="24"/>
  <c r="H10" i="24"/>
  <c r="F10" i="24"/>
  <c r="E10" i="24"/>
  <c r="R9" i="24"/>
  <c r="Q9" i="24"/>
  <c r="O9" i="24"/>
  <c r="N9" i="24"/>
  <c r="L9" i="24"/>
  <c r="K9" i="24"/>
  <c r="I9" i="24"/>
  <c r="H9" i="24"/>
  <c r="F9" i="24"/>
  <c r="E9" i="24"/>
  <c r="R8" i="24"/>
  <c r="Q8" i="24"/>
  <c r="O8" i="24"/>
  <c r="N8" i="24"/>
  <c r="L8" i="24"/>
  <c r="K8" i="24"/>
  <c r="I8" i="24"/>
  <c r="H8" i="24"/>
  <c r="F8" i="24"/>
  <c r="E8" i="24"/>
  <c r="R7" i="24"/>
  <c r="Q7" i="24"/>
  <c r="O7" i="24"/>
  <c r="N7" i="24"/>
  <c r="L7" i="24"/>
  <c r="K7" i="24"/>
  <c r="I7" i="24"/>
  <c r="H7" i="24"/>
  <c r="F7" i="24"/>
  <c r="E7" i="24"/>
  <c r="R6" i="24"/>
  <c r="Q6" i="24"/>
  <c r="O6" i="24"/>
  <c r="N6" i="24"/>
  <c r="L6" i="24"/>
  <c r="K6" i="24"/>
  <c r="I6" i="24"/>
  <c r="H6" i="24"/>
  <c r="F6" i="24"/>
  <c r="E6" i="24"/>
  <c r="R5" i="24"/>
  <c r="Q5" i="24"/>
  <c r="O5" i="24"/>
  <c r="N5" i="24"/>
  <c r="L5" i="24"/>
  <c r="K5" i="24"/>
  <c r="I5" i="24"/>
  <c r="H5" i="24"/>
  <c r="F5" i="24"/>
  <c r="E5" i="24"/>
  <c r="R4" i="24"/>
  <c r="Q4" i="24"/>
  <c r="O4" i="24"/>
  <c r="N4" i="24"/>
  <c r="L4" i="24"/>
  <c r="K4" i="24"/>
  <c r="I4" i="24"/>
  <c r="H4" i="24"/>
  <c r="F4" i="24"/>
  <c r="E4" i="24"/>
  <c r="C6" i="24"/>
  <c r="C7" i="24"/>
  <c r="C8" i="24"/>
  <c r="C9" i="24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C36" i="24"/>
  <c r="C37" i="24"/>
  <c r="C38" i="24"/>
  <c r="C39" i="24"/>
  <c r="C40" i="24"/>
  <c r="C41" i="24"/>
  <c r="C42" i="24"/>
  <c r="C43" i="24"/>
  <c r="C44" i="24"/>
  <c r="C45" i="24"/>
  <c r="C46" i="24"/>
  <c r="C47" i="24"/>
  <c r="C48" i="24"/>
  <c r="C49" i="24"/>
  <c r="C50" i="24"/>
  <c r="C51" i="24"/>
  <c r="C52" i="24"/>
  <c r="C53" i="24"/>
  <c r="C54" i="24"/>
  <c r="C55" i="24"/>
  <c r="C56" i="24"/>
  <c r="C57" i="24"/>
  <c r="C58" i="24"/>
  <c r="C59" i="24"/>
  <c r="C60" i="24"/>
  <c r="C61" i="24"/>
  <c r="C62" i="24"/>
  <c r="C63" i="24"/>
  <c r="C64" i="24"/>
  <c r="C65" i="24"/>
  <c r="C66" i="24"/>
  <c r="C67" i="24"/>
  <c r="C68" i="24"/>
  <c r="C69" i="24"/>
  <c r="C70" i="24"/>
  <c r="C71" i="24"/>
  <c r="C72" i="24"/>
  <c r="C73" i="24"/>
  <c r="C74" i="24"/>
  <c r="C75" i="24"/>
  <c r="C76" i="24"/>
  <c r="C77" i="24"/>
  <c r="C78" i="24"/>
  <c r="C79" i="24"/>
  <c r="C80" i="24"/>
  <c r="C81" i="24"/>
  <c r="C82" i="24"/>
  <c r="C83" i="24"/>
  <c r="C84" i="24"/>
  <c r="C85" i="24"/>
  <c r="C86" i="24"/>
  <c r="C87" i="24"/>
  <c r="C88" i="24"/>
  <c r="C89" i="24"/>
  <c r="C90" i="24"/>
  <c r="C91" i="24"/>
  <c r="C92" i="24"/>
  <c r="C93" i="24"/>
  <c r="C94" i="24"/>
  <c r="C95" i="24"/>
  <c r="C96" i="24"/>
  <c r="C97" i="24"/>
  <c r="C98" i="24"/>
  <c r="C99" i="24"/>
  <c r="C100" i="24"/>
  <c r="C101" i="24"/>
  <c r="B55" i="24"/>
  <c r="B56" i="24"/>
  <c r="B57" i="24"/>
  <c r="B58" i="24"/>
  <c r="B59" i="24"/>
  <c r="B60" i="24"/>
  <c r="B61" i="24"/>
  <c r="B62" i="24"/>
  <c r="B63" i="24"/>
  <c r="B64" i="24"/>
  <c r="B65" i="24"/>
  <c r="B66" i="24"/>
  <c r="B67" i="24"/>
  <c r="B68" i="24"/>
  <c r="B69" i="24"/>
  <c r="B70" i="24"/>
  <c r="B71" i="24"/>
  <c r="B72" i="24"/>
  <c r="B73" i="24"/>
  <c r="B74" i="24"/>
  <c r="B75" i="24"/>
  <c r="B76" i="24"/>
  <c r="B77" i="24"/>
  <c r="B78" i="24"/>
  <c r="B79" i="24"/>
  <c r="B80" i="24"/>
  <c r="B81" i="24"/>
  <c r="B82" i="24"/>
  <c r="B83" i="24"/>
  <c r="B84" i="24"/>
  <c r="B85" i="24"/>
  <c r="B86" i="24"/>
  <c r="B87" i="24"/>
  <c r="B88" i="24"/>
  <c r="B89" i="24"/>
  <c r="B90" i="24"/>
  <c r="B91" i="24"/>
  <c r="B92" i="24"/>
  <c r="B93" i="24"/>
  <c r="B94" i="24"/>
  <c r="B95" i="24"/>
  <c r="B96" i="24"/>
  <c r="B97" i="24"/>
  <c r="B98" i="24"/>
  <c r="B99" i="24"/>
  <c r="B100" i="24"/>
  <c r="B101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42" i="24"/>
  <c r="B43" i="24"/>
  <c r="B44" i="24"/>
  <c r="B45" i="24"/>
  <c r="B46" i="24"/>
  <c r="B47" i="24"/>
  <c r="B48" i="24"/>
  <c r="B49" i="24"/>
  <c r="B50" i="24"/>
  <c r="B51" i="24"/>
  <c r="B52" i="24"/>
  <c r="B53" i="24"/>
  <c r="B54" i="24"/>
</calcChain>
</file>

<file path=xl/connections.xml><?xml version="1.0" encoding="utf-8"?>
<connections xmlns="http://schemas.openxmlformats.org/spreadsheetml/2006/main">
  <connection id="1" name="EPEE.LINE.C-HELD.csv" type="6" refreshedVersion="0" background="1" saveData="1">
    <textPr fileType="mac" sourceFile="Macintosh:Users:jeromedrouin:Documents:Arduino:Projects:WORK_CapacitiveSensors:Weapon Data:Weapon Data - DISTRIBUTION:EPEE.LINE.C-HELD.csv" comma="1" semicolon="1">
      <textFields count="5">
        <textField/>
        <textField/>
        <textField/>
        <textField/>
        <textField/>
      </textFields>
    </textPr>
  </connection>
  <connection id="2" name="FOIL.LINE.A-HELD +WPN.csv" type="6" refreshedVersion="0" background="1" saveData="1">
    <textPr fileType="mac" sourceFile="Macintosh:Users:jeromedrouin:Documents:Arduino:Projects:WORK_CapacitiveSensors:Weapon Data:Weapon Data - DISTRIBUTION:FOIL.LINE.A-HELD +WPN.csv" comma="1" semicolon="1">
      <textFields count="5">
        <textField/>
        <textField/>
        <textField/>
        <textField/>
        <textField/>
      </textFields>
    </textPr>
  </connection>
  <connection id="3" name="FOIL.LINE.A-HELD.csv" type="6" refreshedVersion="0" background="1" saveData="1">
    <textPr fileType="mac" sourceFile="Macintosh:Users:jeromedrouin:Documents:Arduino:Projects:WORK_CapacitiveSensors:Weapon Data:Weapon Data - DISTRIBUTION:FOIL.LINE.A-HELD.csv" comma="1" semicolon="1">
      <textFields count="5">
        <textField/>
        <textField/>
        <textField/>
        <textField/>
        <textField/>
      </textFields>
    </textPr>
  </connection>
  <connection id="4" name="FOIL.LINE.C-HELD.csv" type="6" refreshedVersion="0" background="1" saveData="1">
    <textPr fileType="mac" sourceFile="Macintosh:Users:jeromedrouin:Documents:Arduino:Projects:WORK_CapacitiveSensors:Weapon Data:Weapon Data - DISTRIBUTION:FOIL.LINE.C-HELD.csv" comma="1" semicolon="1">
      <textFields count="5">
        <textField/>
        <textField/>
        <textField/>
        <textField/>
        <textField/>
      </textFields>
    </textPr>
  </connection>
  <connection id="5" name="RAW.csv" type="6" refreshedVersion="0" background="1" saveData="1">
    <textPr fileType="mac" sourceFile="Macintosh:Users:jeromedrouin:Downloads:RAW.csv" tab="0" semicolon="1" qualifier="none">
      <textFields count="4">
        <textField/>
        <textField/>
        <textField/>
        <textField/>
      </textFields>
    </textPr>
  </connection>
  <connection id="6" name="RAW.txt" type="6" refreshedVersion="0" background="1" saveData="1">
    <textPr fileType="mac" sourceFile="Macintosh:Users:jeromedrouin:Downloads:RAW.txt" space="1" consecutive="1">
      <textFields count="4">
        <textField/>
        <textField/>
        <textField/>
        <textField/>
      </textFields>
    </textPr>
  </connection>
  <connection id="7" name="RAW.txt1" type="6" refreshedVersion="0" background="1" saveData="1">
    <textPr fileType="mac" sourceFile="Macintosh:Users:jeromedrouin:Downloads:RAW.txt" space="1" consecutive="1">
      <textFields count="4">
        <textField/>
        <textField/>
        <textField/>
        <textField/>
      </textFields>
    </textPr>
  </connection>
  <connection id="8" name="raw2.csv" type="6" refreshedVersion="0" background="1" saveData="1">
    <textPr fileType="mac" sourceFile="Macintosh:Users:jeromedrouin:Downloads:raw2.csv" tab="0" semicolon="1">
      <textFields count="4">
        <textField/>
        <textField/>
        <textField/>
        <textField/>
      </textFields>
    </textPr>
  </connection>
  <connection id="9" name="raw3.csv" type="6" refreshedVersion="0" background="1" saveData="1">
    <textPr fileType="mac" sourceFile="Macintosh:Users:jeromedrouin:Downloads:raw3.csv" tab="0" semicolon="1">
      <textFields count="4">
        <textField/>
        <textField/>
        <textField/>
        <textField/>
      </textFields>
    </textPr>
  </connection>
  <connection id="10" name="raw3.csv1" type="6" refreshedVersion="0" background="1" saveData="1">
    <textPr fileType="mac" sourceFile="Macintosh:Users:jeromedrouin:Downloads:raw3.csv" tab="0" semicolon="1">
      <textFields count="4">
        <textField/>
        <textField/>
        <textField/>
        <textField/>
      </textFields>
    </textPr>
  </connection>
  <connection id="11" name="raw3.csv2" type="6" refreshedVersion="0" background="1" saveData="1">
    <textPr fileType="mac" sourceFile="Macintosh:Users:jeromedrouin:Downloads:raw3.csv" tab="0" semicolon="1">
      <textFields count="4">
        <textField/>
        <textField/>
        <textField/>
        <textField/>
      </textFields>
    </textPr>
  </connection>
  <connection id="12" name="raw3.csv3" type="6" refreshedVersion="0" background="1" saveData="1">
    <textPr fileType="mac" sourceFile="Macintosh:Users:jeromedrouin:Downloads:raw3.csv" tab="0" semicolon="1">
      <textFields count="4">
        <textField/>
        <textField/>
        <textField/>
        <textField/>
      </textFields>
    </textPr>
  </connection>
  <connection id="13" name="raw4.csv" type="6" refreshedVersion="0" background="1" saveData="1">
    <textPr fileType="mac" sourceFile="Macintosh:Users:jeromedrouin:Downloads:raw4.csv" tab="0" semicolon="1">
      <textFields count="4">
        <textField/>
        <textField/>
        <textField/>
        <textField/>
      </textFields>
    </textPr>
  </connection>
  <connection id="14" name="raw4.csv1" type="6" refreshedVersion="0" background="1" saveData="1">
    <textPr fileType="mac" sourceFile="Macintosh:Users:jeromedrouin:Downloads:raw4.csv" tab="0" semicolon="1">
      <textFields count="4">
        <textField/>
        <textField/>
        <textField/>
        <textField/>
      </textFields>
    </textPr>
  </connection>
  <connection id="15" name="raw5.csv" type="6" refreshedVersion="0" background="1" saveData="1">
    <textPr fileType="mac" sourceFile="Macintosh:Users:jeromedrouin:Downloads:raw5.csv" tab="0" semicolon="1">
      <textFields count="4">
        <textField/>
        <textField/>
        <textField/>
        <textField/>
      </textFields>
    </textPr>
  </connection>
  <connection id="16" name="raw5.csv1" type="6" refreshedVersion="0" background="1" saveData="1">
    <textPr fileType="mac" sourceFile="Macintosh:Users:jeromedrouin:Downloads:raw5.csv" tab="0" semicolon="1">
      <textFields count="4">
        <textField/>
        <textField/>
        <textField/>
        <textField/>
      </textFields>
    </textPr>
  </connection>
  <connection id="17" name="Untitled.csv" type="6" refreshedVersion="0" background="1" saveData="1">
    <textPr fileType="mac" sourceFile="Macintosh:Users:jeromedrouin:Downloads:Untitled.csv" comma="1" semicolon="1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<sst xmlns="http://schemas.openxmlformats.org/spreadsheetml/2006/main" count="2" uniqueCount="2">
  <si>
    <t>Mean</t>
  </si>
  <si>
    <t>Std.Dev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</si>
</sst>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00"/>
  </numFmts>
  <fonts count="6" x14ac:knownFonts="1">
    <font>
      <sz val="12"/>
      <color theme="1"/>
      <name val="Calibri"/>
      <family val="2"/>
      <charset val="129"/>
      <scheme val="minor"/>
    </font>
    <font>
      <b/>
      <sz val="12"/>
      <color theme="1"/>
      <name val="Calibri"/>
      <family val="2"/>
      <charset val="129"/>
      <scheme val="minor"/>
    </font>
    <font>
      <sz val="12"/>
      <color theme="0"/>
      <name val="Calibri"/>
      <family val="2"/>
      <charset val="129"/>
      <scheme val="minor"/>
    </font>
    <font>
      <u/>
      <sz val="12"/>
      <color theme="10"/>
      <name val="Calibri"/>
      <family val="2"/>
      <charset val="129"/>
      <scheme val="minor"/>
    </font>
    <font>
      <u/>
      <sz val="12"/>
      <color theme="11"/>
      <name val="Calibri"/>
      <family val="2"/>
      <charset val="129"/>
      <scheme val="minor"/>
    </font>
    <font>
      <sz val="12"/>
      <color rgb="FF0000FF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1">
    <border>
      <left/>
      <right/>
      <top/>
      <bottom/>
      <diagonal/>
    </border>
  </borders>
  <cellStyleXfs count="449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9">
    <xf numFmtId="0" fontId="0" fillId="0" borderId="0" xfId="0"/>
    <xf numFmtId="0" fontId="2" fillId="2" borderId="0" xfId="0" applyFont="1" applyFill="1"/>
    <xf numFmtId="0" fontId="0" fillId="3" borderId="0" xfId="0" applyFill="1"/>
    <xf numFmtId="0" fontId="5" fillId="4" borderId="0" xfId="0" applyFont="1" applyFill="1"/>
    <xf numFmtId="164" fontId="1" fillId="0" borderId="0" xfId="0" applyNumberFormat="1" applyFont="1"/>
    <xf numFmtId="164" fontId="1" fillId="3" borderId="0" xfId="0" applyNumberFormat="1" applyFont="1" applyFill="1"/>
    <xf numFmtId="165" fontId="0" fillId="0" borderId="0" xfId="0" applyNumberFormat="1"/>
    <xf numFmtId="165" fontId="0" fillId="3" borderId="0" xfId="0" applyNumberFormat="1" applyFill="1"/>
    <xf numFmtId="165" fontId="1" fillId="0" borderId="0" xfId="0" applyNumberFormat="1" applyFont="1"/>
  </cellXfs>
  <cellStyles count="4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607168107483068"/>
          <c:y val="0.0171981030780243"/>
          <c:w val="0.720589998403086"/>
          <c:h val="0.94254190618810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'Normal(m,s)'!$H$4</c:f>
              <c:strCache>
                <c:ptCount val="1"/>
                <c:pt idx="0">
                  <c:v>N(m=1;s=0.5)-PDF</c:v>
                </c:pt>
              </c:strCache>
            </c:strRef>
          </c:tx>
          <c:spPr>
            <a:ln w="22225"/>
          </c:spPr>
          <c:marker>
            <c:symbol val="none"/>
          </c:marker>
          <c:xVal>
            <c:numRef>
              <c:f>'Normal(m,s)'!$C$5:$C$101</c:f>
              <c:numCache>
                <c:formatCode>0.000</c:formatCode>
                <c:ptCount val="97"/>
                <c:pt idx="0">
                  <c:v>-2.0</c:v>
                </c:pt>
                <c:pt idx="1">
                  <c:v>-1.8</c:v>
                </c:pt>
                <c:pt idx="2">
                  <c:v>-1.6</c:v>
                </c:pt>
                <c:pt idx="3">
                  <c:v>-1.4</c:v>
                </c:pt>
                <c:pt idx="4">
                  <c:v>-1.2</c:v>
                </c:pt>
                <c:pt idx="5">
                  <c:v>-1.0</c:v>
                </c:pt>
                <c:pt idx="6">
                  <c:v>-0.8</c:v>
                </c:pt>
                <c:pt idx="7">
                  <c:v>-0.6</c:v>
                </c:pt>
                <c:pt idx="8">
                  <c:v>-0.4</c:v>
                </c:pt>
                <c:pt idx="9">
                  <c:v>-0.2</c:v>
                </c:pt>
                <c:pt idx="10">
                  <c:v>-2.77555756156289E-16</c:v>
                </c:pt>
                <c:pt idx="11">
                  <c:v>0.2</c:v>
                </c:pt>
                <c:pt idx="12">
                  <c:v>0.4</c:v>
                </c:pt>
                <c:pt idx="13">
                  <c:v>0.6</c:v>
                </c:pt>
                <c:pt idx="14">
                  <c:v>0.8</c:v>
                </c:pt>
                <c:pt idx="15">
                  <c:v>1</c:v>
                </c:pt>
                <c:pt idx="16">
                  <c:v>1.2</c:v>
                </c:pt>
                <c:pt idx="17">
                  <c:v>1.4</c:v>
                </c:pt>
                <c:pt idx="18">
                  <c:v>1.6</c:v>
                </c:pt>
                <c:pt idx="19">
                  <c:v>1.8</c:v>
                </c:pt>
                <c:pt idx="20">
                  <c:v>2</c:v>
                </c:pt>
                <c:pt idx="21">
                  <c:v>2.2</c:v>
                </c:pt>
                <c:pt idx="22">
                  <c:v>2.4</c:v>
                </c:pt>
                <c:pt idx="23">
                  <c:v>2.6</c:v>
                </c:pt>
                <c:pt idx="24">
                  <c:v>2.8</c:v>
                </c:pt>
                <c:pt idx="25">
                  <c:v>3.0</c:v>
                </c:pt>
                <c:pt idx="26">
                  <c:v>3.200000000000001</c:v>
                </c:pt>
                <c:pt idx="27">
                  <c:v>3.400000000000001</c:v>
                </c:pt>
                <c:pt idx="28">
                  <c:v>3.600000000000001</c:v>
                </c:pt>
                <c:pt idx="29">
                  <c:v>3.800000000000001</c:v>
                </c:pt>
                <c:pt idx="30">
                  <c:v>4.000000000000001</c:v>
                </c:pt>
                <c:pt idx="31">
                  <c:v>4.200000000000001</c:v>
                </c:pt>
                <c:pt idx="32">
                  <c:v>4.400000000000001</c:v>
                </c:pt>
                <c:pt idx="33">
                  <c:v>4.600000000000001</c:v>
                </c:pt>
                <c:pt idx="34">
                  <c:v>4.800000000000002</c:v>
                </c:pt>
                <c:pt idx="35">
                  <c:v>5.000000000000002</c:v>
                </c:pt>
                <c:pt idx="36">
                  <c:v>5.200000000000002</c:v>
                </c:pt>
                <c:pt idx="37">
                  <c:v>5.400000000000002</c:v>
                </c:pt>
                <c:pt idx="38">
                  <c:v>5.600000000000002</c:v>
                </c:pt>
                <c:pt idx="39">
                  <c:v>5.800000000000002</c:v>
                </c:pt>
                <c:pt idx="40">
                  <c:v>6.000000000000003</c:v>
                </c:pt>
                <c:pt idx="41">
                  <c:v>6.200000000000003</c:v>
                </c:pt>
                <c:pt idx="42">
                  <c:v>6.400000000000003</c:v>
                </c:pt>
                <c:pt idx="43">
                  <c:v>6.600000000000003</c:v>
                </c:pt>
                <c:pt idx="44">
                  <c:v>6.800000000000003</c:v>
                </c:pt>
                <c:pt idx="45">
                  <c:v>7.000000000000004</c:v>
                </c:pt>
                <c:pt idx="46">
                  <c:v>7.200000000000004</c:v>
                </c:pt>
                <c:pt idx="47">
                  <c:v>7.400000000000004</c:v>
                </c:pt>
                <c:pt idx="48">
                  <c:v>7.600000000000004</c:v>
                </c:pt>
                <c:pt idx="49">
                  <c:v>7.800000000000004</c:v>
                </c:pt>
                <c:pt idx="50">
                  <c:v>8.000000000000003</c:v>
                </c:pt>
                <c:pt idx="51">
                  <c:v>8.200000000000003</c:v>
                </c:pt>
                <c:pt idx="52">
                  <c:v>8.400000000000002</c:v>
                </c:pt>
                <c:pt idx="53">
                  <c:v>8.600000000000001</c:v>
                </c:pt>
                <c:pt idx="54">
                  <c:v>8.8</c:v>
                </c:pt>
                <c:pt idx="55">
                  <c:v>9.0</c:v>
                </c:pt>
                <c:pt idx="56">
                  <c:v>9.2</c:v>
                </c:pt>
                <c:pt idx="57">
                  <c:v>9.399999999999998</c:v>
                </c:pt>
                <c:pt idx="58">
                  <c:v>9.599999999999997</c:v>
                </c:pt>
                <c:pt idx="59">
                  <c:v>9.799999999999997</c:v>
                </c:pt>
                <c:pt idx="60">
                  <c:v>9.999999999999996</c:v>
                </c:pt>
                <c:pt idx="61">
                  <c:v>10.2</c:v>
                </c:pt>
                <c:pt idx="62">
                  <c:v>10.39999999999999</c:v>
                </c:pt>
                <c:pt idx="63">
                  <c:v>10.59999999999999</c:v>
                </c:pt>
                <c:pt idx="64">
                  <c:v>10.79999999999999</c:v>
                </c:pt>
                <c:pt idx="65">
                  <c:v>11</c:v>
                </c:pt>
                <c:pt idx="66">
                  <c:v>11.2</c:v>
                </c:pt>
                <c:pt idx="67">
                  <c:v>11.4</c:v>
                </c:pt>
                <c:pt idx="68">
                  <c:v>11.6</c:v>
                </c:pt>
                <c:pt idx="69">
                  <c:v>11.79999999999999</c:v>
                </c:pt>
                <c:pt idx="70">
                  <c:v>11.99999999999999</c:v>
                </c:pt>
                <c:pt idx="71">
                  <c:v>12.19999999999999</c:v>
                </c:pt>
                <c:pt idx="72">
                  <c:v>12.39999999999999</c:v>
                </c:pt>
                <c:pt idx="73">
                  <c:v>12.59999999999999</c:v>
                </c:pt>
                <c:pt idx="74">
                  <c:v>12.79999999999999</c:v>
                </c:pt>
                <c:pt idx="75">
                  <c:v>12.99999999999999</c:v>
                </c:pt>
                <c:pt idx="76">
                  <c:v>13.19999999999999</c:v>
                </c:pt>
                <c:pt idx="77">
                  <c:v>13.39999999999998</c:v>
                </c:pt>
                <c:pt idx="78">
                  <c:v>13.59999999999998</c:v>
                </c:pt>
                <c:pt idx="79">
                  <c:v>13.79999999999998</c:v>
                </c:pt>
                <c:pt idx="80">
                  <c:v>13.99999999999998</c:v>
                </c:pt>
                <c:pt idx="81">
                  <c:v>14.19999999999998</c:v>
                </c:pt>
                <c:pt idx="82">
                  <c:v>14.39999999999998</c:v>
                </c:pt>
                <c:pt idx="83">
                  <c:v>14.59999999999998</c:v>
                </c:pt>
                <c:pt idx="84">
                  <c:v>14.79999999999998</c:v>
                </c:pt>
                <c:pt idx="85">
                  <c:v>14.99999999999998</c:v>
                </c:pt>
                <c:pt idx="86">
                  <c:v>15.19999999999998</c:v>
                </c:pt>
                <c:pt idx="87">
                  <c:v>15.39999999999998</c:v>
                </c:pt>
                <c:pt idx="88">
                  <c:v>15.59999999999998</c:v>
                </c:pt>
                <c:pt idx="89">
                  <c:v>15.79999999999998</c:v>
                </c:pt>
                <c:pt idx="90">
                  <c:v>15.99999999999998</c:v>
                </c:pt>
                <c:pt idx="91">
                  <c:v>16.19999999999997</c:v>
                </c:pt>
                <c:pt idx="92">
                  <c:v>16.39999999999997</c:v>
                </c:pt>
                <c:pt idx="93">
                  <c:v>16.59999999999997</c:v>
                </c:pt>
                <c:pt idx="94">
                  <c:v>16.79999999999997</c:v>
                </c:pt>
                <c:pt idx="95">
                  <c:v>16.99999999999997</c:v>
                </c:pt>
                <c:pt idx="96">
                  <c:v>17.19999999999997</c:v>
                </c:pt>
              </c:numCache>
            </c:numRef>
          </c:xVal>
          <c:yVal>
            <c:numRef>
              <c:f>'Normal(m,s)'!$H$5:$H$101</c:f>
              <c:numCache>
                <c:formatCode>0.000000</c:formatCode>
                <c:ptCount val="97"/>
                <c:pt idx="0">
                  <c:v>1.21517656996466E-8</c:v>
                </c:pt>
                <c:pt idx="1">
                  <c:v>1.23652410003317E-7</c:v>
                </c:pt>
                <c:pt idx="2">
                  <c:v>1.07220706893952E-6</c:v>
                </c:pt>
                <c:pt idx="3">
                  <c:v>7.92259818206412E-6</c:v>
                </c:pt>
                <c:pt idx="4">
                  <c:v>4.98849425801071E-5</c:v>
                </c:pt>
                <c:pt idx="5">
                  <c:v>0.000267660451529771</c:v>
                </c:pt>
                <c:pt idx="6">
                  <c:v>0.00122380386022754</c:v>
                </c:pt>
                <c:pt idx="7">
                  <c:v>0.00476817640292968</c:v>
                </c:pt>
                <c:pt idx="8">
                  <c:v>0.0158309031659599</c:v>
                </c:pt>
                <c:pt idx="9">
                  <c:v>0.0447890605896858</c:v>
                </c:pt>
                <c:pt idx="10">
                  <c:v>0.107981933026376</c:v>
                </c:pt>
                <c:pt idx="11">
                  <c:v>0.221841669358911</c:v>
                </c:pt>
                <c:pt idx="12">
                  <c:v>0.388372109966426</c:v>
                </c:pt>
                <c:pt idx="13">
                  <c:v>0.579383105522965</c:v>
                </c:pt>
                <c:pt idx="14">
                  <c:v>0.736540280606646</c:v>
                </c:pt>
                <c:pt idx="15">
                  <c:v>0.797884560802865</c:v>
                </c:pt>
                <c:pt idx="16">
                  <c:v>0.736540280606647</c:v>
                </c:pt>
                <c:pt idx="17">
                  <c:v>0.579383105522966</c:v>
                </c:pt>
                <c:pt idx="18">
                  <c:v>0.388372109966426</c:v>
                </c:pt>
                <c:pt idx="19">
                  <c:v>0.221841669358911</c:v>
                </c:pt>
                <c:pt idx="20">
                  <c:v>0.107981933026376</c:v>
                </c:pt>
                <c:pt idx="21">
                  <c:v>0.0447890605896859</c:v>
                </c:pt>
                <c:pt idx="22">
                  <c:v>0.0158309031659599</c:v>
                </c:pt>
                <c:pt idx="23">
                  <c:v>0.00476817640292968</c:v>
                </c:pt>
                <c:pt idx="24">
                  <c:v>0.00122380386022754</c:v>
                </c:pt>
                <c:pt idx="25">
                  <c:v>0.00026766045152977</c:v>
                </c:pt>
                <c:pt idx="26">
                  <c:v>4.98849425801069E-5</c:v>
                </c:pt>
                <c:pt idx="27">
                  <c:v>7.92259818206408E-6</c:v>
                </c:pt>
                <c:pt idx="28">
                  <c:v>1.07220706893951E-6</c:v>
                </c:pt>
                <c:pt idx="29">
                  <c:v>1.23652410003315E-7</c:v>
                </c:pt>
                <c:pt idx="30">
                  <c:v>1.21517656996464E-8</c:v>
                </c:pt>
                <c:pt idx="31">
                  <c:v>1.017628056329E-9</c:v>
                </c:pt>
                <c:pt idx="32">
                  <c:v>7.26192300358347E-11</c:v>
                </c:pt>
                <c:pt idx="33">
                  <c:v>4.4159799262742E-12</c:v>
                </c:pt>
                <c:pt idx="34">
                  <c:v>2.28831298036022E-13</c:v>
                </c:pt>
                <c:pt idx="35">
                  <c:v>1.01045421670735E-14</c:v>
                </c:pt>
                <c:pt idx="36">
                  <c:v>3.80216307581582E-16</c:v>
                </c:pt>
                <c:pt idx="37">
                  <c:v>1.21915162591245E-17</c:v>
                </c:pt>
                <c:pt idx="38">
                  <c:v>3.33117606475969E-19</c:v>
                </c:pt>
                <c:pt idx="39">
                  <c:v>7.75622386349354E-21</c:v>
                </c:pt>
                <c:pt idx="40">
                  <c:v>1.5389197253412E-22</c:v>
                </c:pt>
                <c:pt idx="41">
                  <c:v>2.60192323984768E-24</c:v>
                </c:pt>
                <c:pt idx="42">
                  <c:v>3.74874480468338E-26</c:v>
                </c:pt>
                <c:pt idx="43">
                  <c:v>4.60246141769595E-28</c:v>
                </c:pt>
                <c:pt idx="44">
                  <c:v>4.81512226367826E-30</c:v>
                </c:pt>
                <c:pt idx="45">
                  <c:v>4.29276747132575E-32</c:v>
                </c:pt>
                <c:pt idx="46">
                  <c:v>3.26122146967901E-34</c:v>
                </c:pt>
                <c:pt idx="47">
                  <c:v>2.11123270049037E-36</c:v>
                </c:pt>
                <c:pt idx="48">
                  <c:v>1.16467511994718E-38</c:v>
                </c:pt>
                <c:pt idx="49">
                  <c:v>5.47502838470991E-41</c:v>
                </c:pt>
                <c:pt idx="50">
                  <c:v>2.19321311877772E-43</c:v>
                </c:pt>
                <c:pt idx="51">
                  <c:v>7.48666115976948E-46</c:v>
                </c:pt>
                <c:pt idx="52">
                  <c:v>2.17775191065532E-48</c:v>
                </c:pt>
                <c:pt idx="53">
                  <c:v>5.39810728877635E-51</c:v>
                </c:pt>
                <c:pt idx="54">
                  <c:v>1.14021697818822E-53</c:v>
                </c:pt>
                <c:pt idx="55">
                  <c:v>2.05232614558381E-56</c:v>
                </c:pt>
                <c:pt idx="56">
                  <c:v>3.14787975955329E-59</c:v>
                </c:pt>
                <c:pt idx="57">
                  <c:v>4.11436460605746E-62</c:v>
                </c:pt>
                <c:pt idx="58">
                  <c:v>4.58247704739915E-65</c:v>
                </c:pt>
                <c:pt idx="59">
                  <c:v>4.34921326859879E-68</c:v>
                </c:pt>
                <c:pt idx="60">
                  <c:v>3.51749908519061E-71</c:v>
                </c:pt>
                <c:pt idx="61">
                  <c:v>2.42420958981611E-74</c:v>
                </c:pt>
                <c:pt idx="62">
                  <c:v>1.42370240784808E-77</c:v>
                </c:pt>
                <c:pt idx="63">
                  <c:v>7.12493910800426E-81</c:v>
                </c:pt>
                <c:pt idx="64">
                  <c:v>3.0384771695931E-84</c:v>
                </c:pt>
                <c:pt idx="65">
                  <c:v>1.10418967243227E-87</c:v>
                </c:pt>
                <c:pt idx="66">
                  <c:v>3.41935559160669E-91</c:v>
                </c:pt>
                <c:pt idx="67">
                  <c:v>9.02314083909941E-95</c:v>
                </c:pt>
                <c:pt idx="68">
                  <c:v>2.02900953617728E-98</c:v>
                </c:pt>
                <c:pt idx="69">
                  <c:v>3.88797374112051E-102</c:v>
                </c:pt>
                <c:pt idx="70">
                  <c:v>6.34856310565341E-106</c:v>
                </c:pt>
                <c:pt idx="71">
                  <c:v>8.83365515852365E-110</c:v>
                </c:pt>
                <c:pt idx="72">
                  <c:v>1.04741388109537E-113</c:v>
                </c:pt>
                <c:pt idx="73">
                  <c:v>1.05830072021752E-117</c:v>
                </c:pt>
                <c:pt idx="74">
                  <c:v>9.11197964823066E-122</c:v>
                </c:pt>
                <c:pt idx="75">
                  <c:v>6.68542888359347E-126</c:v>
                </c:pt>
                <c:pt idx="76">
                  <c:v>4.17983067181902E-130</c:v>
                </c:pt>
                <c:pt idx="77">
                  <c:v>2.22690139125326E-134</c:v>
                </c:pt>
                <c:pt idx="78">
                  <c:v>1.01101166750884E-138</c:v>
                </c:pt>
                <c:pt idx="79">
                  <c:v>3.91132795004808E-143</c:v>
                </c:pt>
                <c:pt idx="80">
                  <c:v>1.28945199428074E-147</c:v>
                </c:pt>
                <c:pt idx="81">
                  <c:v>3.62242170861738E-152</c:v>
                </c:pt>
                <c:pt idx="82">
                  <c:v>8.67172946144408E-157</c:v>
                </c:pt>
                <c:pt idx="83">
                  <c:v>1.76898974729497E-161</c:v>
                </c:pt>
                <c:pt idx="84">
                  <c:v>3.07508973937119E-166</c:v>
                </c:pt>
                <c:pt idx="85">
                  <c:v>4.55515495747875E-171</c:v>
                </c:pt>
                <c:pt idx="86">
                  <c:v>5.74991466775434E-176</c:v>
                </c:pt>
                <c:pt idx="87">
                  <c:v>6.18489778403657E-181</c:v>
                </c:pt>
                <c:pt idx="88">
                  <c:v>5.66913157282046E-186</c:v>
                </c:pt>
                <c:pt idx="89">
                  <c:v>4.42805931068105E-191</c:v>
                </c:pt>
                <c:pt idx="90">
                  <c:v>2.94729226976145E-196</c:v>
                </c:pt>
                <c:pt idx="91">
                  <c:v>1.67165196678706E-201</c:v>
                </c:pt>
                <c:pt idx="92">
                  <c:v>8.07944269791818E-207</c:v>
                </c:pt>
                <c:pt idx="93">
                  <c:v>3.32759014588303E-212</c:v>
                </c:pt>
                <c:pt idx="94">
                  <c:v>1.16786094930324E-217</c:v>
                </c:pt>
                <c:pt idx="95">
                  <c:v>3.4927325135239E-223</c:v>
                </c:pt>
                <c:pt idx="96">
                  <c:v>8.90127872152699E-229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'Normal(m,s)'!$K$4</c:f>
              <c:strCache>
                <c:ptCount val="1"/>
                <c:pt idx="0">
                  <c:v>N(m=2;s=1)-PDF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'Normal(m,s)'!$C$5:$C$101</c:f>
              <c:numCache>
                <c:formatCode>0.000</c:formatCode>
                <c:ptCount val="97"/>
                <c:pt idx="0">
                  <c:v>-2.0</c:v>
                </c:pt>
                <c:pt idx="1">
                  <c:v>-1.8</c:v>
                </c:pt>
                <c:pt idx="2">
                  <c:v>-1.6</c:v>
                </c:pt>
                <c:pt idx="3">
                  <c:v>-1.4</c:v>
                </c:pt>
                <c:pt idx="4">
                  <c:v>-1.2</c:v>
                </c:pt>
                <c:pt idx="5">
                  <c:v>-1.0</c:v>
                </c:pt>
                <c:pt idx="6">
                  <c:v>-0.8</c:v>
                </c:pt>
                <c:pt idx="7">
                  <c:v>-0.6</c:v>
                </c:pt>
                <c:pt idx="8">
                  <c:v>-0.4</c:v>
                </c:pt>
                <c:pt idx="9">
                  <c:v>-0.2</c:v>
                </c:pt>
                <c:pt idx="10">
                  <c:v>-2.77555756156289E-16</c:v>
                </c:pt>
                <c:pt idx="11">
                  <c:v>0.2</c:v>
                </c:pt>
                <c:pt idx="12">
                  <c:v>0.4</c:v>
                </c:pt>
                <c:pt idx="13">
                  <c:v>0.6</c:v>
                </c:pt>
                <c:pt idx="14">
                  <c:v>0.8</c:v>
                </c:pt>
                <c:pt idx="15">
                  <c:v>1</c:v>
                </c:pt>
                <c:pt idx="16">
                  <c:v>1.2</c:v>
                </c:pt>
                <c:pt idx="17">
                  <c:v>1.4</c:v>
                </c:pt>
                <c:pt idx="18">
                  <c:v>1.6</c:v>
                </c:pt>
                <c:pt idx="19">
                  <c:v>1.8</c:v>
                </c:pt>
                <c:pt idx="20">
                  <c:v>2</c:v>
                </c:pt>
                <c:pt idx="21">
                  <c:v>2.2</c:v>
                </c:pt>
                <c:pt idx="22">
                  <c:v>2.4</c:v>
                </c:pt>
                <c:pt idx="23">
                  <c:v>2.6</c:v>
                </c:pt>
                <c:pt idx="24">
                  <c:v>2.8</c:v>
                </c:pt>
                <c:pt idx="25">
                  <c:v>3.0</c:v>
                </c:pt>
                <c:pt idx="26">
                  <c:v>3.200000000000001</c:v>
                </c:pt>
                <c:pt idx="27">
                  <c:v>3.400000000000001</c:v>
                </c:pt>
                <c:pt idx="28">
                  <c:v>3.600000000000001</c:v>
                </c:pt>
                <c:pt idx="29">
                  <c:v>3.800000000000001</c:v>
                </c:pt>
                <c:pt idx="30">
                  <c:v>4.000000000000001</c:v>
                </c:pt>
                <c:pt idx="31">
                  <c:v>4.200000000000001</c:v>
                </c:pt>
                <c:pt idx="32">
                  <c:v>4.400000000000001</c:v>
                </c:pt>
                <c:pt idx="33">
                  <c:v>4.600000000000001</c:v>
                </c:pt>
                <c:pt idx="34">
                  <c:v>4.800000000000002</c:v>
                </c:pt>
                <c:pt idx="35">
                  <c:v>5.000000000000002</c:v>
                </c:pt>
                <c:pt idx="36">
                  <c:v>5.200000000000002</c:v>
                </c:pt>
                <c:pt idx="37">
                  <c:v>5.400000000000002</c:v>
                </c:pt>
                <c:pt idx="38">
                  <c:v>5.600000000000002</c:v>
                </c:pt>
                <c:pt idx="39">
                  <c:v>5.800000000000002</c:v>
                </c:pt>
                <c:pt idx="40">
                  <c:v>6.000000000000003</c:v>
                </c:pt>
                <c:pt idx="41">
                  <c:v>6.200000000000003</c:v>
                </c:pt>
                <c:pt idx="42">
                  <c:v>6.400000000000003</c:v>
                </c:pt>
                <c:pt idx="43">
                  <c:v>6.600000000000003</c:v>
                </c:pt>
                <c:pt idx="44">
                  <c:v>6.800000000000003</c:v>
                </c:pt>
                <c:pt idx="45">
                  <c:v>7.000000000000004</c:v>
                </c:pt>
                <c:pt idx="46">
                  <c:v>7.200000000000004</c:v>
                </c:pt>
                <c:pt idx="47">
                  <c:v>7.400000000000004</c:v>
                </c:pt>
                <c:pt idx="48">
                  <c:v>7.600000000000004</c:v>
                </c:pt>
                <c:pt idx="49">
                  <c:v>7.800000000000004</c:v>
                </c:pt>
                <c:pt idx="50">
                  <c:v>8.000000000000003</c:v>
                </c:pt>
                <c:pt idx="51">
                  <c:v>8.200000000000003</c:v>
                </c:pt>
                <c:pt idx="52">
                  <c:v>8.400000000000002</c:v>
                </c:pt>
                <c:pt idx="53">
                  <c:v>8.600000000000001</c:v>
                </c:pt>
                <c:pt idx="54">
                  <c:v>8.8</c:v>
                </c:pt>
                <c:pt idx="55">
                  <c:v>9.0</c:v>
                </c:pt>
                <c:pt idx="56">
                  <c:v>9.2</c:v>
                </c:pt>
                <c:pt idx="57">
                  <c:v>9.399999999999998</c:v>
                </c:pt>
                <c:pt idx="58">
                  <c:v>9.599999999999997</c:v>
                </c:pt>
                <c:pt idx="59">
                  <c:v>9.799999999999997</c:v>
                </c:pt>
                <c:pt idx="60">
                  <c:v>9.999999999999996</c:v>
                </c:pt>
                <c:pt idx="61">
                  <c:v>10.2</c:v>
                </c:pt>
                <c:pt idx="62">
                  <c:v>10.39999999999999</c:v>
                </c:pt>
                <c:pt idx="63">
                  <c:v>10.59999999999999</c:v>
                </c:pt>
                <c:pt idx="64">
                  <c:v>10.79999999999999</c:v>
                </c:pt>
                <c:pt idx="65">
                  <c:v>11</c:v>
                </c:pt>
                <c:pt idx="66">
                  <c:v>11.2</c:v>
                </c:pt>
                <c:pt idx="67">
                  <c:v>11.4</c:v>
                </c:pt>
                <c:pt idx="68">
                  <c:v>11.6</c:v>
                </c:pt>
                <c:pt idx="69">
                  <c:v>11.79999999999999</c:v>
                </c:pt>
                <c:pt idx="70">
                  <c:v>11.99999999999999</c:v>
                </c:pt>
                <c:pt idx="71">
                  <c:v>12.19999999999999</c:v>
                </c:pt>
                <c:pt idx="72">
                  <c:v>12.39999999999999</c:v>
                </c:pt>
                <c:pt idx="73">
                  <c:v>12.59999999999999</c:v>
                </c:pt>
                <c:pt idx="74">
                  <c:v>12.79999999999999</c:v>
                </c:pt>
                <c:pt idx="75">
                  <c:v>12.99999999999999</c:v>
                </c:pt>
                <c:pt idx="76">
                  <c:v>13.19999999999999</c:v>
                </c:pt>
                <c:pt idx="77">
                  <c:v>13.39999999999998</c:v>
                </c:pt>
                <c:pt idx="78">
                  <c:v>13.59999999999998</c:v>
                </c:pt>
                <c:pt idx="79">
                  <c:v>13.79999999999998</c:v>
                </c:pt>
                <c:pt idx="80">
                  <c:v>13.99999999999998</c:v>
                </c:pt>
                <c:pt idx="81">
                  <c:v>14.19999999999998</c:v>
                </c:pt>
                <c:pt idx="82">
                  <c:v>14.39999999999998</c:v>
                </c:pt>
                <c:pt idx="83">
                  <c:v>14.59999999999998</c:v>
                </c:pt>
                <c:pt idx="84">
                  <c:v>14.79999999999998</c:v>
                </c:pt>
                <c:pt idx="85">
                  <c:v>14.99999999999998</c:v>
                </c:pt>
                <c:pt idx="86">
                  <c:v>15.19999999999998</c:v>
                </c:pt>
                <c:pt idx="87">
                  <c:v>15.39999999999998</c:v>
                </c:pt>
                <c:pt idx="88">
                  <c:v>15.59999999999998</c:v>
                </c:pt>
                <c:pt idx="89">
                  <c:v>15.79999999999998</c:v>
                </c:pt>
                <c:pt idx="90">
                  <c:v>15.99999999999998</c:v>
                </c:pt>
                <c:pt idx="91">
                  <c:v>16.19999999999997</c:v>
                </c:pt>
                <c:pt idx="92">
                  <c:v>16.39999999999997</c:v>
                </c:pt>
                <c:pt idx="93">
                  <c:v>16.59999999999997</c:v>
                </c:pt>
                <c:pt idx="94">
                  <c:v>16.79999999999997</c:v>
                </c:pt>
                <c:pt idx="95">
                  <c:v>16.99999999999997</c:v>
                </c:pt>
                <c:pt idx="96">
                  <c:v>17.19999999999997</c:v>
                </c:pt>
              </c:numCache>
            </c:numRef>
          </c:xVal>
          <c:yVal>
            <c:numRef>
              <c:f>'Normal(m,s)'!$K$5:$K$101</c:f>
              <c:numCache>
                <c:formatCode>0.000000</c:formatCode>
                <c:ptCount val="97"/>
                <c:pt idx="0">
                  <c:v>0.000133830225764885</c:v>
                </c:pt>
                <c:pt idx="1">
                  <c:v>0.00029194692579146</c:v>
                </c:pt>
                <c:pt idx="2">
                  <c:v>0.000611901930113772</c:v>
                </c:pt>
                <c:pt idx="3">
                  <c:v>0.00123221916847302</c:v>
                </c:pt>
                <c:pt idx="4">
                  <c:v>0.00238408820146484</c:v>
                </c:pt>
                <c:pt idx="5">
                  <c:v>0.00443184841193801</c:v>
                </c:pt>
                <c:pt idx="6">
                  <c:v>0.00791545158297995</c:v>
                </c:pt>
                <c:pt idx="7">
                  <c:v>0.0135829692336856</c:v>
                </c:pt>
                <c:pt idx="8">
                  <c:v>0.0223945302948429</c:v>
                </c:pt>
                <c:pt idx="9">
                  <c:v>0.0354745928462314</c:v>
                </c:pt>
                <c:pt idx="10">
                  <c:v>0.053990966513188</c:v>
                </c:pt>
                <c:pt idx="11">
                  <c:v>0.0789501583008941</c:v>
                </c:pt>
                <c:pt idx="12">
                  <c:v>0.110920834679456</c:v>
                </c:pt>
                <c:pt idx="13">
                  <c:v>0.149727465635745</c:v>
                </c:pt>
                <c:pt idx="14">
                  <c:v>0.194186054983213</c:v>
                </c:pt>
                <c:pt idx="15">
                  <c:v>0.241970724519143</c:v>
                </c:pt>
                <c:pt idx="16">
                  <c:v>0.289691552761483</c:v>
                </c:pt>
                <c:pt idx="17">
                  <c:v>0.3332246028918</c:v>
                </c:pt>
                <c:pt idx="18">
                  <c:v>0.368270140303323</c:v>
                </c:pt>
                <c:pt idx="19">
                  <c:v>0.391042693975456</c:v>
                </c:pt>
                <c:pt idx="20">
                  <c:v>0.398942280401433</c:v>
                </c:pt>
                <c:pt idx="21">
                  <c:v>0.391042693975456</c:v>
                </c:pt>
                <c:pt idx="22">
                  <c:v>0.368270140303323</c:v>
                </c:pt>
                <c:pt idx="23">
                  <c:v>0.3332246028918</c:v>
                </c:pt>
                <c:pt idx="24">
                  <c:v>0.289691552761483</c:v>
                </c:pt>
                <c:pt idx="25">
                  <c:v>0.241970724519143</c:v>
                </c:pt>
                <c:pt idx="26">
                  <c:v>0.194186054983213</c:v>
                </c:pt>
                <c:pt idx="27">
                  <c:v>0.149727465635745</c:v>
                </c:pt>
                <c:pt idx="28">
                  <c:v>0.110920834679455</c:v>
                </c:pt>
                <c:pt idx="29">
                  <c:v>0.078950158300894</c:v>
                </c:pt>
                <c:pt idx="30">
                  <c:v>0.0539909665131879</c:v>
                </c:pt>
                <c:pt idx="31">
                  <c:v>0.0354745928462314</c:v>
                </c:pt>
                <c:pt idx="32">
                  <c:v>0.0223945302948428</c:v>
                </c:pt>
                <c:pt idx="33">
                  <c:v>0.0135829692336856</c:v>
                </c:pt>
                <c:pt idx="34">
                  <c:v>0.00791545158297993</c:v>
                </c:pt>
                <c:pt idx="35">
                  <c:v>0.00443184841193798</c:v>
                </c:pt>
                <c:pt idx="36">
                  <c:v>0.00238408820146483</c:v>
                </c:pt>
                <c:pt idx="37">
                  <c:v>0.00123221916847301</c:v>
                </c:pt>
                <c:pt idx="38">
                  <c:v>0.000611901930113767</c:v>
                </c:pt>
                <c:pt idx="39">
                  <c:v>0.000291946925791457</c:v>
                </c:pt>
                <c:pt idx="40">
                  <c:v>0.000133830225764884</c:v>
                </c:pt>
                <c:pt idx="41">
                  <c:v>5.89430677565391E-5</c:v>
                </c:pt>
                <c:pt idx="42">
                  <c:v>2.49424712900532E-5</c:v>
                </c:pt>
                <c:pt idx="43">
                  <c:v>1.01408520654866E-5</c:v>
                </c:pt>
                <c:pt idx="44">
                  <c:v>3.96129909103201E-6</c:v>
                </c:pt>
                <c:pt idx="45">
                  <c:v>1.48671951473427E-6</c:v>
                </c:pt>
                <c:pt idx="46">
                  <c:v>5.36103534469752E-7</c:v>
                </c:pt>
                <c:pt idx="47">
                  <c:v>1.85736184455525E-7</c:v>
                </c:pt>
                <c:pt idx="48">
                  <c:v>6.1826205001657E-8</c:v>
                </c:pt>
                <c:pt idx="49">
                  <c:v>1.97731964062442E-8</c:v>
                </c:pt>
                <c:pt idx="50">
                  <c:v>6.07588284982316E-9</c:v>
                </c:pt>
                <c:pt idx="51">
                  <c:v>1.79378390796405E-9</c:v>
                </c:pt>
                <c:pt idx="52">
                  <c:v>5.08814028164498E-10</c:v>
                </c:pt>
                <c:pt idx="53">
                  <c:v>1.3866799941653E-10</c:v>
                </c:pt>
                <c:pt idx="54">
                  <c:v>3.63096150179177E-11</c:v>
                </c:pt>
                <c:pt idx="55">
                  <c:v>9.13472040836459E-12</c:v>
                </c:pt>
                <c:pt idx="56">
                  <c:v>2.20798996313715E-12</c:v>
                </c:pt>
                <c:pt idx="57">
                  <c:v>5.12775363679673E-13</c:v>
                </c:pt>
                <c:pt idx="58">
                  <c:v>1.14415649018015E-13</c:v>
                </c:pt>
                <c:pt idx="59">
                  <c:v>2.45285528569648E-14</c:v>
                </c:pt>
                <c:pt idx="60">
                  <c:v>5.05227108353704E-15</c:v>
                </c:pt>
                <c:pt idx="61">
                  <c:v>9.99837874849753E-16</c:v>
                </c:pt>
                <c:pt idx="62">
                  <c:v>1.90108153790804E-16</c:v>
                </c:pt>
                <c:pt idx="63">
                  <c:v>3.47296274856636E-17</c:v>
                </c:pt>
                <c:pt idx="64">
                  <c:v>6.09575812956281E-18</c:v>
                </c:pt>
                <c:pt idx="65">
                  <c:v>1.02797735716696E-18</c:v>
                </c:pt>
                <c:pt idx="66">
                  <c:v>1.66558803238004E-19</c:v>
                </c:pt>
                <c:pt idx="67">
                  <c:v>2.59286470110059E-20</c:v>
                </c:pt>
                <c:pt idx="68">
                  <c:v>3.87811193174729E-21</c:v>
                </c:pt>
                <c:pt idx="69">
                  <c:v>5.57300002272129E-22</c:v>
                </c:pt>
                <c:pt idx="70">
                  <c:v>7.69459862670724E-23</c:v>
                </c:pt>
                <c:pt idx="71">
                  <c:v>1.02073055943073E-23</c:v>
                </c:pt>
                <c:pt idx="72">
                  <c:v>1.30096161992408E-24</c:v>
                </c:pt>
                <c:pt idx="73">
                  <c:v>1.59311113270118E-25</c:v>
                </c:pt>
                <c:pt idx="74">
                  <c:v>1.87437240234209E-26</c:v>
                </c:pt>
                <c:pt idx="75">
                  <c:v>2.11881925350968E-27</c:v>
                </c:pt>
                <c:pt idx="76">
                  <c:v>2.30123070884851E-28</c:v>
                </c:pt>
                <c:pt idx="77">
                  <c:v>2.40134540000898E-29</c:v>
                </c:pt>
                <c:pt idx="78">
                  <c:v>2.40756113183975E-30</c:v>
                </c:pt>
                <c:pt idx="79">
                  <c:v>2.31914677725658E-31</c:v>
                </c:pt>
                <c:pt idx="80">
                  <c:v>2.14638373566352E-32</c:v>
                </c:pt>
                <c:pt idx="81">
                  <c:v>1.90859913463722E-33</c:v>
                </c:pt>
                <c:pt idx="82">
                  <c:v>1.63061073484004E-34</c:v>
                </c:pt>
                <c:pt idx="83">
                  <c:v>1.33848679925461E-35</c:v>
                </c:pt>
                <c:pt idx="84">
                  <c:v>1.05561635024557E-36</c:v>
                </c:pt>
                <c:pt idx="85">
                  <c:v>7.99882775700908E-38</c:v>
                </c:pt>
                <c:pt idx="86">
                  <c:v>5.82337559973822E-39</c:v>
                </c:pt>
                <c:pt idx="87">
                  <c:v>4.07334767752912E-40</c:v>
                </c:pt>
                <c:pt idx="88">
                  <c:v>2.73751419235616E-41</c:v>
                </c:pt>
                <c:pt idx="89">
                  <c:v>1.7676224102541E-42</c:v>
                </c:pt>
                <c:pt idx="90">
                  <c:v>1.09660655938935E-43</c:v>
                </c:pt>
                <c:pt idx="91">
                  <c:v>6.53642677532098E-45</c:v>
                </c:pt>
                <c:pt idx="92">
                  <c:v>3.74333057988644E-46</c:v>
                </c:pt>
                <c:pt idx="93">
                  <c:v>2.05970102240975E-47</c:v>
                </c:pt>
                <c:pt idx="94">
                  <c:v>1.08887595532819E-48</c:v>
                </c:pt>
                <c:pt idx="95">
                  <c:v>5.53070954984677E-50</c:v>
                </c:pt>
                <c:pt idx="96">
                  <c:v>2.69905364438948E-51</c:v>
                </c:pt>
              </c:numCache>
            </c:numRef>
          </c:yVal>
          <c:smooth val="1"/>
        </c:ser>
        <c:ser>
          <c:idx val="4"/>
          <c:order val="2"/>
          <c:tx>
            <c:strRef>
              <c:f>'Normal(m,s)'!$N$4</c:f>
              <c:strCache>
                <c:ptCount val="1"/>
                <c:pt idx="0">
                  <c:v>N(m=3;s=2)-PDF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'Normal(m,s)'!$C$5:$C$101</c:f>
              <c:numCache>
                <c:formatCode>0.000</c:formatCode>
                <c:ptCount val="97"/>
                <c:pt idx="0">
                  <c:v>-2.0</c:v>
                </c:pt>
                <c:pt idx="1">
                  <c:v>-1.8</c:v>
                </c:pt>
                <c:pt idx="2">
                  <c:v>-1.6</c:v>
                </c:pt>
                <c:pt idx="3">
                  <c:v>-1.4</c:v>
                </c:pt>
                <c:pt idx="4">
                  <c:v>-1.2</c:v>
                </c:pt>
                <c:pt idx="5">
                  <c:v>-1.0</c:v>
                </c:pt>
                <c:pt idx="6">
                  <c:v>-0.8</c:v>
                </c:pt>
                <c:pt idx="7">
                  <c:v>-0.6</c:v>
                </c:pt>
                <c:pt idx="8">
                  <c:v>-0.4</c:v>
                </c:pt>
                <c:pt idx="9">
                  <c:v>-0.2</c:v>
                </c:pt>
                <c:pt idx="10">
                  <c:v>-2.77555756156289E-16</c:v>
                </c:pt>
                <c:pt idx="11">
                  <c:v>0.2</c:v>
                </c:pt>
                <c:pt idx="12">
                  <c:v>0.4</c:v>
                </c:pt>
                <c:pt idx="13">
                  <c:v>0.6</c:v>
                </c:pt>
                <c:pt idx="14">
                  <c:v>0.8</c:v>
                </c:pt>
                <c:pt idx="15">
                  <c:v>1</c:v>
                </c:pt>
                <c:pt idx="16">
                  <c:v>1.2</c:v>
                </c:pt>
                <c:pt idx="17">
                  <c:v>1.4</c:v>
                </c:pt>
                <c:pt idx="18">
                  <c:v>1.6</c:v>
                </c:pt>
                <c:pt idx="19">
                  <c:v>1.8</c:v>
                </c:pt>
                <c:pt idx="20">
                  <c:v>2</c:v>
                </c:pt>
                <c:pt idx="21">
                  <c:v>2.2</c:v>
                </c:pt>
                <c:pt idx="22">
                  <c:v>2.4</c:v>
                </c:pt>
                <c:pt idx="23">
                  <c:v>2.6</c:v>
                </c:pt>
                <c:pt idx="24">
                  <c:v>2.8</c:v>
                </c:pt>
                <c:pt idx="25">
                  <c:v>3.0</c:v>
                </c:pt>
                <c:pt idx="26">
                  <c:v>3.200000000000001</c:v>
                </c:pt>
                <c:pt idx="27">
                  <c:v>3.400000000000001</c:v>
                </c:pt>
                <c:pt idx="28">
                  <c:v>3.600000000000001</c:v>
                </c:pt>
                <c:pt idx="29">
                  <c:v>3.800000000000001</c:v>
                </c:pt>
                <c:pt idx="30">
                  <c:v>4.000000000000001</c:v>
                </c:pt>
                <c:pt idx="31">
                  <c:v>4.200000000000001</c:v>
                </c:pt>
                <c:pt idx="32">
                  <c:v>4.400000000000001</c:v>
                </c:pt>
                <c:pt idx="33">
                  <c:v>4.600000000000001</c:v>
                </c:pt>
                <c:pt idx="34">
                  <c:v>4.800000000000002</c:v>
                </c:pt>
                <c:pt idx="35">
                  <c:v>5.000000000000002</c:v>
                </c:pt>
                <c:pt idx="36">
                  <c:v>5.200000000000002</c:v>
                </c:pt>
                <c:pt idx="37">
                  <c:v>5.400000000000002</c:v>
                </c:pt>
                <c:pt idx="38">
                  <c:v>5.600000000000002</c:v>
                </c:pt>
                <c:pt idx="39">
                  <c:v>5.800000000000002</c:v>
                </c:pt>
                <c:pt idx="40">
                  <c:v>6.000000000000003</c:v>
                </c:pt>
                <c:pt idx="41">
                  <c:v>6.200000000000003</c:v>
                </c:pt>
                <c:pt idx="42">
                  <c:v>6.400000000000003</c:v>
                </c:pt>
                <c:pt idx="43">
                  <c:v>6.600000000000003</c:v>
                </c:pt>
                <c:pt idx="44">
                  <c:v>6.800000000000003</c:v>
                </c:pt>
                <c:pt idx="45">
                  <c:v>7.000000000000004</c:v>
                </c:pt>
                <c:pt idx="46">
                  <c:v>7.200000000000004</c:v>
                </c:pt>
                <c:pt idx="47">
                  <c:v>7.400000000000004</c:v>
                </c:pt>
                <c:pt idx="48">
                  <c:v>7.600000000000004</c:v>
                </c:pt>
                <c:pt idx="49">
                  <c:v>7.800000000000004</c:v>
                </c:pt>
                <c:pt idx="50">
                  <c:v>8.000000000000003</c:v>
                </c:pt>
                <c:pt idx="51">
                  <c:v>8.200000000000003</c:v>
                </c:pt>
                <c:pt idx="52">
                  <c:v>8.400000000000002</c:v>
                </c:pt>
                <c:pt idx="53">
                  <c:v>8.600000000000001</c:v>
                </c:pt>
                <c:pt idx="54">
                  <c:v>8.8</c:v>
                </c:pt>
                <c:pt idx="55">
                  <c:v>9.0</c:v>
                </c:pt>
                <c:pt idx="56">
                  <c:v>9.2</c:v>
                </c:pt>
                <c:pt idx="57">
                  <c:v>9.399999999999998</c:v>
                </c:pt>
                <c:pt idx="58">
                  <c:v>9.599999999999997</c:v>
                </c:pt>
                <c:pt idx="59">
                  <c:v>9.799999999999997</c:v>
                </c:pt>
                <c:pt idx="60">
                  <c:v>9.999999999999996</c:v>
                </c:pt>
                <c:pt idx="61">
                  <c:v>10.2</c:v>
                </c:pt>
                <c:pt idx="62">
                  <c:v>10.39999999999999</c:v>
                </c:pt>
                <c:pt idx="63">
                  <c:v>10.59999999999999</c:v>
                </c:pt>
                <c:pt idx="64">
                  <c:v>10.79999999999999</c:v>
                </c:pt>
                <c:pt idx="65">
                  <c:v>11</c:v>
                </c:pt>
                <c:pt idx="66">
                  <c:v>11.2</c:v>
                </c:pt>
                <c:pt idx="67">
                  <c:v>11.4</c:v>
                </c:pt>
                <c:pt idx="68">
                  <c:v>11.6</c:v>
                </c:pt>
                <c:pt idx="69">
                  <c:v>11.79999999999999</c:v>
                </c:pt>
                <c:pt idx="70">
                  <c:v>11.99999999999999</c:v>
                </c:pt>
                <c:pt idx="71">
                  <c:v>12.19999999999999</c:v>
                </c:pt>
                <c:pt idx="72">
                  <c:v>12.39999999999999</c:v>
                </c:pt>
                <c:pt idx="73">
                  <c:v>12.59999999999999</c:v>
                </c:pt>
                <c:pt idx="74">
                  <c:v>12.79999999999999</c:v>
                </c:pt>
                <c:pt idx="75">
                  <c:v>12.99999999999999</c:v>
                </c:pt>
                <c:pt idx="76">
                  <c:v>13.19999999999999</c:v>
                </c:pt>
                <c:pt idx="77">
                  <c:v>13.39999999999998</c:v>
                </c:pt>
                <c:pt idx="78">
                  <c:v>13.59999999999998</c:v>
                </c:pt>
                <c:pt idx="79">
                  <c:v>13.79999999999998</c:v>
                </c:pt>
                <c:pt idx="80">
                  <c:v>13.99999999999998</c:v>
                </c:pt>
                <c:pt idx="81">
                  <c:v>14.19999999999998</c:v>
                </c:pt>
                <c:pt idx="82">
                  <c:v>14.39999999999998</c:v>
                </c:pt>
                <c:pt idx="83">
                  <c:v>14.59999999999998</c:v>
                </c:pt>
                <c:pt idx="84">
                  <c:v>14.79999999999998</c:v>
                </c:pt>
                <c:pt idx="85">
                  <c:v>14.99999999999998</c:v>
                </c:pt>
                <c:pt idx="86">
                  <c:v>15.19999999999998</c:v>
                </c:pt>
                <c:pt idx="87">
                  <c:v>15.39999999999998</c:v>
                </c:pt>
                <c:pt idx="88">
                  <c:v>15.59999999999998</c:v>
                </c:pt>
                <c:pt idx="89">
                  <c:v>15.79999999999998</c:v>
                </c:pt>
                <c:pt idx="90">
                  <c:v>15.99999999999998</c:v>
                </c:pt>
                <c:pt idx="91">
                  <c:v>16.19999999999997</c:v>
                </c:pt>
                <c:pt idx="92">
                  <c:v>16.39999999999997</c:v>
                </c:pt>
                <c:pt idx="93">
                  <c:v>16.59999999999997</c:v>
                </c:pt>
                <c:pt idx="94">
                  <c:v>16.79999999999997</c:v>
                </c:pt>
                <c:pt idx="95">
                  <c:v>16.99999999999997</c:v>
                </c:pt>
                <c:pt idx="96">
                  <c:v>17.19999999999997</c:v>
                </c:pt>
              </c:numCache>
            </c:numRef>
          </c:xVal>
          <c:yVal>
            <c:numRef>
              <c:f>'Normal(m,s)'!$N$5:$N$101</c:f>
              <c:numCache>
                <c:formatCode>0.000000</c:formatCode>
                <c:ptCount val="97"/>
                <c:pt idx="0">
                  <c:v>0.00876415024678427</c:v>
                </c:pt>
                <c:pt idx="1">
                  <c:v>0.0111972651474214</c:v>
                </c:pt>
                <c:pt idx="2">
                  <c:v>0.0141635188708006</c:v>
                </c:pt>
                <c:pt idx="3">
                  <c:v>0.0177372964231157</c:v>
                </c:pt>
                <c:pt idx="4">
                  <c:v>0.0219917979902136</c:v>
                </c:pt>
                <c:pt idx="5">
                  <c:v>0.026995483256594</c:v>
                </c:pt>
                <c:pt idx="6">
                  <c:v>0.0328079073873383</c:v>
                </c:pt>
                <c:pt idx="7">
                  <c:v>0.0394750791504471</c:v>
                </c:pt>
                <c:pt idx="8">
                  <c:v>0.0470245386884434</c:v>
                </c:pt>
                <c:pt idx="9">
                  <c:v>0.0554604173397278</c:v>
                </c:pt>
                <c:pt idx="10">
                  <c:v>0.0647587978329458</c:v>
                </c:pt>
                <c:pt idx="11">
                  <c:v>0.0748637328178724</c:v>
                </c:pt>
                <c:pt idx="12">
                  <c:v>0.0856842960239037</c:v>
                </c:pt>
                <c:pt idx="13">
                  <c:v>0.0970930274916064</c:v>
                </c:pt>
                <c:pt idx="14">
                  <c:v>0.108926088516275</c:v>
                </c:pt>
                <c:pt idx="15">
                  <c:v>0.120985362259572</c:v>
                </c:pt>
                <c:pt idx="16">
                  <c:v>0.133042624949377</c:v>
                </c:pt>
                <c:pt idx="17">
                  <c:v>0.144845776380741</c:v>
                </c:pt>
                <c:pt idx="18">
                  <c:v>0.156126966683381</c:v>
                </c:pt>
                <c:pt idx="19">
                  <c:v>0.1666123014459</c:v>
                </c:pt>
                <c:pt idx="20">
                  <c:v>0.17603266338215</c:v>
                </c:pt>
                <c:pt idx="21">
                  <c:v>0.184135070151662</c:v>
                </c:pt>
                <c:pt idx="22">
                  <c:v>0.190693907730262</c:v>
                </c:pt>
                <c:pt idx="23">
                  <c:v>0.195521346987728</c:v>
                </c:pt>
                <c:pt idx="24">
                  <c:v>0.198476273738506</c:v>
                </c:pt>
                <c:pt idx="25">
                  <c:v>0.199471140200716</c:v>
                </c:pt>
                <c:pt idx="26">
                  <c:v>0.198476273738506</c:v>
                </c:pt>
                <c:pt idx="27">
                  <c:v>0.195521346987728</c:v>
                </c:pt>
                <c:pt idx="28">
                  <c:v>0.190693907730262</c:v>
                </c:pt>
                <c:pt idx="29">
                  <c:v>0.184135070151662</c:v>
                </c:pt>
                <c:pt idx="30">
                  <c:v>0.17603266338215</c:v>
                </c:pt>
                <c:pt idx="31">
                  <c:v>0.1666123014459</c:v>
                </c:pt>
                <c:pt idx="32">
                  <c:v>0.156126966683381</c:v>
                </c:pt>
                <c:pt idx="33">
                  <c:v>0.144845776380741</c:v>
                </c:pt>
                <c:pt idx="34">
                  <c:v>0.133042624949377</c:v>
                </c:pt>
                <c:pt idx="35">
                  <c:v>0.120985362259572</c:v>
                </c:pt>
                <c:pt idx="36">
                  <c:v>0.108926088516275</c:v>
                </c:pt>
                <c:pt idx="37">
                  <c:v>0.0970930274916063</c:v>
                </c:pt>
                <c:pt idx="38">
                  <c:v>0.0856842960239035</c:v>
                </c:pt>
                <c:pt idx="39">
                  <c:v>0.0748637328178723</c:v>
                </c:pt>
                <c:pt idx="40">
                  <c:v>0.0647587978329457</c:v>
                </c:pt>
                <c:pt idx="41">
                  <c:v>0.0554604173397276</c:v>
                </c:pt>
                <c:pt idx="42">
                  <c:v>0.0470245386884433</c:v>
                </c:pt>
                <c:pt idx="43">
                  <c:v>0.039475079150447</c:v>
                </c:pt>
                <c:pt idx="44">
                  <c:v>0.0328079073873382</c:v>
                </c:pt>
                <c:pt idx="45">
                  <c:v>0.0269954832565939</c:v>
                </c:pt>
                <c:pt idx="46">
                  <c:v>0.0219917979902135</c:v>
                </c:pt>
                <c:pt idx="47">
                  <c:v>0.0177372964231156</c:v>
                </c:pt>
                <c:pt idx="48">
                  <c:v>0.0141635188708005</c:v>
                </c:pt>
                <c:pt idx="49">
                  <c:v>0.0111972651474214</c:v>
                </c:pt>
                <c:pt idx="50">
                  <c:v>0.00876415024678423</c:v>
                </c:pt>
                <c:pt idx="51">
                  <c:v>0.00679148461684278</c:v>
                </c:pt>
                <c:pt idx="52">
                  <c:v>0.00521046740721128</c:v>
                </c:pt>
                <c:pt idx="53">
                  <c:v>0.00395772579148997</c:v>
                </c:pt>
                <c:pt idx="54">
                  <c:v>0.00297626620988792</c:v>
                </c:pt>
                <c:pt idx="55">
                  <c:v>0.002215924205969</c:v>
                </c:pt>
                <c:pt idx="56">
                  <c:v>0.00163340952809996</c:v>
                </c:pt>
                <c:pt idx="57">
                  <c:v>0.00119204410073242</c:v>
                </c:pt>
                <c:pt idx="58">
                  <c:v>0.000861284469526843</c:v>
                </c:pt>
                <c:pt idx="59">
                  <c:v>0.000616109584236513</c:v>
                </c:pt>
                <c:pt idx="60">
                  <c:v>0.000436341347522883</c:v>
                </c:pt>
                <c:pt idx="61">
                  <c:v>0.000305950965056888</c:v>
                </c:pt>
                <c:pt idx="62">
                  <c:v>0.000212390135275378</c:v>
                </c:pt>
                <c:pt idx="63">
                  <c:v>0.000145973462895732</c:v>
                </c:pt>
                <c:pt idx="64">
                  <c:v>9.93277356963876E-5</c:v>
                </c:pt>
                <c:pt idx="65">
                  <c:v>6.69151128824436E-5</c:v>
                </c:pt>
                <c:pt idx="66">
                  <c:v>4.46308285885672E-5</c:v>
                </c:pt>
                <c:pt idx="67">
                  <c:v>2.94715338782704E-5</c:v>
                </c:pt>
                <c:pt idx="68">
                  <c:v>1.92675983710439E-5</c:v>
                </c:pt>
                <c:pt idx="69">
                  <c:v>1.24712356450271E-5</c:v>
                </c:pt>
                <c:pt idx="70">
                  <c:v>7.99187055345294E-6</c:v>
                </c:pt>
                <c:pt idx="71">
                  <c:v>5.07042603274351E-6</c:v>
                </c:pt>
                <c:pt idx="72">
                  <c:v>3.18491258943364E-6</c:v>
                </c:pt>
                <c:pt idx="73">
                  <c:v>1.9806495455161E-6</c:v>
                </c:pt>
                <c:pt idx="74">
                  <c:v>1.21948037294672E-6</c:v>
                </c:pt>
                <c:pt idx="75">
                  <c:v>7.43359757367175E-7</c:v>
                </c:pt>
                <c:pt idx="76">
                  <c:v>4.48621758119184E-7</c:v>
                </c:pt>
                <c:pt idx="77">
                  <c:v>2.68051767234892E-7</c:v>
                </c:pt>
                <c:pt idx="78">
                  <c:v>1.58567460835806E-7</c:v>
                </c:pt>
                <c:pt idx="79">
                  <c:v>9.28680922277689E-8</c:v>
                </c:pt>
                <c:pt idx="80">
                  <c:v>5.3848800212719E-8</c:v>
                </c:pt>
                <c:pt idx="81">
                  <c:v>3.09131025008308E-8</c:v>
                </c:pt>
                <c:pt idx="82">
                  <c:v>1.75697754741032E-8</c:v>
                </c:pt>
                <c:pt idx="83">
                  <c:v>9.88659820312289E-9</c:v>
                </c:pt>
                <c:pt idx="84">
                  <c:v>5.50788181234148E-9</c:v>
                </c:pt>
                <c:pt idx="85">
                  <c:v>3.03794142491184E-9</c:v>
                </c:pt>
                <c:pt idx="86">
                  <c:v>1.65894212177376E-9</c:v>
                </c:pt>
                <c:pt idx="87">
                  <c:v>8.96891953982106E-10</c:v>
                </c:pt>
                <c:pt idx="88">
                  <c:v>4.80071668515651E-10</c:v>
                </c:pt>
                <c:pt idx="89">
                  <c:v>2.54407014082273E-10</c:v>
                </c:pt>
                <c:pt idx="90">
                  <c:v>1.33477830738153E-10</c:v>
                </c:pt>
                <c:pt idx="91">
                  <c:v>6.93339997082715E-11</c:v>
                </c:pt>
                <c:pt idx="92">
                  <c:v>3.56566406199835E-11</c:v>
                </c:pt>
                <c:pt idx="93">
                  <c:v>1.81548075089606E-11</c:v>
                </c:pt>
                <c:pt idx="94">
                  <c:v>9.15166108507876E-12</c:v>
                </c:pt>
                <c:pt idx="95">
                  <c:v>4.56736020418275E-12</c:v>
                </c:pt>
                <c:pt idx="96">
                  <c:v>2.25677183860299E-12</c:v>
                </c:pt>
              </c:numCache>
            </c:numRef>
          </c:yVal>
          <c:smooth val="1"/>
        </c:ser>
        <c:ser>
          <c:idx val="5"/>
          <c:order val="3"/>
          <c:tx>
            <c:strRef>
              <c:f>'Normal(m,s)'!$Q$4</c:f>
              <c:strCache>
                <c:ptCount val="1"/>
                <c:pt idx="0">
                  <c:v>N(m=4;s=0.05)-PDF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'Normal(m,s)'!$C$5:$C$101</c:f>
              <c:numCache>
                <c:formatCode>0.000</c:formatCode>
                <c:ptCount val="97"/>
                <c:pt idx="0">
                  <c:v>-2.0</c:v>
                </c:pt>
                <c:pt idx="1">
                  <c:v>-1.8</c:v>
                </c:pt>
                <c:pt idx="2">
                  <c:v>-1.6</c:v>
                </c:pt>
                <c:pt idx="3">
                  <c:v>-1.4</c:v>
                </c:pt>
                <c:pt idx="4">
                  <c:v>-1.2</c:v>
                </c:pt>
                <c:pt idx="5">
                  <c:v>-1.0</c:v>
                </c:pt>
                <c:pt idx="6">
                  <c:v>-0.8</c:v>
                </c:pt>
                <c:pt idx="7">
                  <c:v>-0.6</c:v>
                </c:pt>
                <c:pt idx="8">
                  <c:v>-0.4</c:v>
                </c:pt>
                <c:pt idx="9">
                  <c:v>-0.2</c:v>
                </c:pt>
                <c:pt idx="10">
                  <c:v>-2.77555756156289E-16</c:v>
                </c:pt>
                <c:pt idx="11">
                  <c:v>0.2</c:v>
                </c:pt>
                <c:pt idx="12">
                  <c:v>0.4</c:v>
                </c:pt>
                <c:pt idx="13">
                  <c:v>0.6</c:v>
                </c:pt>
                <c:pt idx="14">
                  <c:v>0.8</c:v>
                </c:pt>
                <c:pt idx="15">
                  <c:v>1</c:v>
                </c:pt>
                <c:pt idx="16">
                  <c:v>1.2</c:v>
                </c:pt>
                <c:pt idx="17">
                  <c:v>1.4</c:v>
                </c:pt>
                <c:pt idx="18">
                  <c:v>1.6</c:v>
                </c:pt>
                <c:pt idx="19">
                  <c:v>1.8</c:v>
                </c:pt>
                <c:pt idx="20">
                  <c:v>2</c:v>
                </c:pt>
                <c:pt idx="21">
                  <c:v>2.2</c:v>
                </c:pt>
                <c:pt idx="22">
                  <c:v>2.4</c:v>
                </c:pt>
                <c:pt idx="23">
                  <c:v>2.6</c:v>
                </c:pt>
                <c:pt idx="24">
                  <c:v>2.8</c:v>
                </c:pt>
                <c:pt idx="25">
                  <c:v>3.0</c:v>
                </c:pt>
                <c:pt idx="26">
                  <c:v>3.200000000000001</c:v>
                </c:pt>
                <c:pt idx="27">
                  <c:v>3.400000000000001</c:v>
                </c:pt>
                <c:pt idx="28">
                  <c:v>3.600000000000001</c:v>
                </c:pt>
                <c:pt idx="29">
                  <c:v>3.800000000000001</c:v>
                </c:pt>
                <c:pt idx="30">
                  <c:v>4.000000000000001</c:v>
                </c:pt>
                <c:pt idx="31">
                  <c:v>4.200000000000001</c:v>
                </c:pt>
                <c:pt idx="32">
                  <c:v>4.400000000000001</c:v>
                </c:pt>
                <c:pt idx="33">
                  <c:v>4.600000000000001</c:v>
                </c:pt>
                <c:pt idx="34">
                  <c:v>4.800000000000002</c:v>
                </c:pt>
                <c:pt idx="35">
                  <c:v>5.000000000000002</c:v>
                </c:pt>
                <c:pt idx="36">
                  <c:v>5.200000000000002</c:v>
                </c:pt>
                <c:pt idx="37">
                  <c:v>5.400000000000002</c:v>
                </c:pt>
                <c:pt idx="38">
                  <c:v>5.600000000000002</c:v>
                </c:pt>
                <c:pt idx="39">
                  <c:v>5.800000000000002</c:v>
                </c:pt>
                <c:pt idx="40">
                  <c:v>6.000000000000003</c:v>
                </c:pt>
                <c:pt idx="41">
                  <c:v>6.200000000000003</c:v>
                </c:pt>
                <c:pt idx="42">
                  <c:v>6.400000000000003</c:v>
                </c:pt>
                <c:pt idx="43">
                  <c:v>6.600000000000003</c:v>
                </c:pt>
                <c:pt idx="44">
                  <c:v>6.800000000000003</c:v>
                </c:pt>
                <c:pt idx="45">
                  <c:v>7.000000000000004</c:v>
                </c:pt>
                <c:pt idx="46">
                  <c:v>7.200000000000004</c:v>
                </c:pt>
                <c:pt idx="47">
                  <c:v>7.400000000000004</c:v>
                </c:pt>
                <c:pt idx="48">
                  <c:v>7.600000000000004</c:v>
                </c:pt>
                <c:pt idx="49">
                  <c:v>7.800000000000004</c:v>
                </c:pt>
                <c:pt idx="50">
                  <c:v>8.000000000000003</c:v>
                </c:pt>
                <c:pt idx="51">
                  <c:v>8.200000000000003</c:v>
                </c:pt>
                <c:pt idx="52">
                  <c:v>8.400000000000002</c:v>
                </c:pt>
                <c:pt idx="53">
                  <c:v>8.600000000000001</c:v>
                </c:pt>
                <c:pt idx="54">
                  <c:v>8.8</c:v>
                </c:pt>
                <c:pt idx="55">
                  <c:v>9.0</c:v>
                </c:pt>
                <c:pt idx="56">
                  <c:v>9.2</c:v>
                </c:pt>
                <c:pt idx="57">
                  <c:v>9.399999999999998</c:v>
                </c:pt>
                <c:pt idx="58">
                  <c:v>9.599999999999997</c:v>
                </c:pt>
                <c:pt idx="59">
                  <c:v>9.799999999999997</c:v>
                </c:pt>
                <c:pt idx="60">
                  <c:v>9.999999999999996</c:v>
                </c:pt>
                <c:pt idx="61">
                  <c:v>10.2</c:v>
                </c:pt>
                <c:pt idx="62">
                  <c:v>10.39999999999999</c:v>
                </c:pt>
                <c:pt idx="63">
                  <c:v>10.59999999999999</c:v>
                </c:pt>
                <c:pt idx="64">
                  <c:v>10.79999999999999</c:v>
                </c:pt>
                <c:pt idx="65">
                  <c:v>11</c:v>
                </c:pt>
                <c:pt idx="66">
                  <c:v>11.2</c:v>
                </c:pt>
                <c:pt idx="67">
                  <c:v>11.4</c:v>
                </c:pt>
                <c:pt idx="68">
                  <c:v>11.6</c:v>
                </c:pt>
                <c:pt idx="69">
                  <c:v>11.79999999999999</c:v>
                </c:pt>
                <c:pt idx="70">
                  <c:v>11.99999999999999</c:v>
                </c:pt>
                <c:pt idx="71">
                  <c:v>12.19999999999999</c:v>
                </c:pt>
                <c:pt idx="72">
                  <c:v>12.39999999999999</c:v>
                </c:pt>
                <c:pt idx="73">
                  <c:v>12.59999999999999</c:v>
                </c:pt>
                <c:pt idx="74">
                  <c:v>12.79999999999999</c:v>
                </c:pt>
                <c:pt idx="75">
                  <c:v>12.99999999999999</c:v>
                </c:pt>
                <c:pt idx="76">
                  <c:v>13.19999999999999</c:v>
                </c:pt>
                <c:pt idx="77">
                  <c:v>13.39999999999998</c:v>
                </c:pt>
                <c:pt idx="78">
                  <c:v>13.59999999999998</c:v>
                </c:pt>
                <c:pt idx="79">
                  <c:v>13.79999999999998</c:v>
                </c:pt>
                <c:pt idx="80">
                  <c:v>13.99999999999998</c:v>
                </c:pt>
                <c:pt idx="81">
                  <c:v>14.19999999999998</c:v>
                </c:pt>
                <c:pt idx="82">
                  <c:v>14.39999999999998</c:v>
                </c:pt>
                <c:pt idx="83">
                  <c:v>14.59999999999998</c:v>
                </c:pt>
                <c:pt idx="84">
                  <c:v>14.79999999999998</c:v>
                </c:pt>
                <c:pt idx="85">
                  <c:v>14.99999999999998</c:v>
                </c:pt>
                <c:pt idx="86">
                  <c:v>15.19999999999998</c:v>
                </c:pt>
                <c:pt idx="87">
                  <c:v>15.39999999999998</c:v>
                </c:pt>
                <c:pt idx="88">
                  <c:v>15.59999999999998</c:v>
                </c:pt>
                <c:pt idx="89">
                  <c:v>15.79999999999998</c:v>
                </c:pt>
                <c:pt idx="90">
                  <c:v>15.99999999999998</c:v>
                </c:pt>
                <c:pt idx="91">
                  <c:v>16.19999999999997</c:v>
                </c:pt>
                <c:pt idx="92">
                  <c:v>16.39999999999997</c:v>
                </c:pt>
                <c:pt idx="93">
                  <c:v>16.59999999999997</c:v>
                </c:pt>
                <c:pt idx="94">
                  <c:v>16.79999999999997</c:v>
                </c:pt>
                <c:pt idx="95">
                  <c:v>16.99999999999997</c:v>
                </c:pt>
                <c:pt idx="96">
                  <c:v>17.19999999999997</c:v>
                </c:pt>
              </c:numCache>
            </c:numRef>
          </c:xVal>
          <c:yVal>
            <c:numRef>
              <c:f>'Normal(m,s)'!$Q$5:$Q$101</c:f>
              <c:numCache>
                <c:formatCode>0.000000</c:formatCode>
                <c:ptCount val="97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3.01380943524078E-281</c:v>
                </c:pt>
                <c:pt idx="22">
                  <c:v>3.49273251351755E-222</c:v>
                </c:pt>
                <c:pt idx="23">
                  <c:v>4.55515495747384E-170</c:v>
                </c:pt>
                <c:pt idx="24">
                  <c:v>6.68542888359005E-125</c:v>
                </c:pt>
                <c:pt idx="25">
                  <c:v>1.1041896724322E-86</c:v>
                </c:pt>
                <c:pt idx="26">
                  <c:v>2.05232614558427E-55</c:v>
                </c:pt>
                <c:pt idx="27">
                  <c:v>4.29276747132697E-31</c:v>
                </c:pt>
                <c:pt idx="28">
                  <c:v>1.01045421670754E-13</c:v>
                </c:pt>
                <c:pt idx="29">
                  <c:v>0.00267660451529795</c:v>
                </c:pt>
                <c:pt idx="30">
                  <c:v>7.978845608028654</c:v>
                </c:pt>
                <c:pt idx="31">
                  <c:v>0.00267660451529748</c:v>
                </c:pt>
                <c:pt idx="32">
                  <c:v>1.01045421670718E-13</c:v>
                </c:pt>
                <c:pt idx="33">
                  <c:v>4.29276747132466E-31</c:v>
                </c:pt>
                <c:pt idx="34">
                  <c:v>2.05232614558276E-55</c:v>
                </c:pt>
                <c:pt idx="35">
                  <c:v>1.10418967243117E-86</c:v>
                </c:pt>
                <c:pt idx="36">
                  <c:v>6.68542888358283E-125</c:v>
                </c:pt>
                <c:pt idx="37">
                  <c:v>4.55515495746788E-170</c:v>
                </c:pt>
                <c:pt idx="38">
                  <c:v>3.49273251351278E-222</c:v>
                </c:pt>
                <c:pt idx="39">
                  <c:v>3.0138094352353E-281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'Normal(m,s)'!$E$4</c:f>
              <c:strCache>
                <c:ptCount val="1"/>
                <c:pt idx="0">
                  <c:v>N(m=0;s=1)-PDF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'Normal(m,s)'!$C$5:$C$101</c:f>
              <c:numCache>
                <c:formatCode>0.000</c:formatCode>
                <c:ptCount val="97"/>
                <c:pt idx="0">
                  <c:v>-2.0</c:v>
                </c:pt>
                <c:pt idx="1">
                  <c:v>-1.8</c:v>
                </c:pt>
                <c:pt idx="2">
                  <c:v>-1.6</c:v>
                </c:pt>
                <c:pt idx="3">
                  <c:v>-1.4</c:v>
                </c:pt>
                <c:pt idx="4">
                  <c:v>-1.2</c:v>
                </c:pt>
                <c:pt idx="5">
                  <c:v>-1.0</c:v>
                </c:pt>
                <c:pt idx="6">
                  <c:v>-0.8</c:v>
                </c:pt>
                <c:pt idx="7">
                  <c:v>-0.6</c:v>
                </c:pt>
                <c:pt idx="8">
                  <c:v>-0.4</c:v>
                </c:pt>
                <c:pt idx="9">
                  <c:v>-0.2</c:v>
                </c:pt>
                <c:pt idx="10">
                  <c:v>-2.77555756156289E-16</c:v>
                </c:pt>
                <c:pt idx="11">
                  <c:v>0.2</c:v>
                </c:pt>
                <c:pt idx="12">
                  <c:v>0.4</c:v>
                </c:pt>
                <c:pt idx="13">
                  <c:v>0.6</c:v>
                </c:pt>
                <c:pt idx="14">
                  <c:v>0.8</c:v>
                </c:pt>
                <c:pt idx="15">
                  <c:v>1</c:v>
                </c:pt>
                <c:pt idx="16">
                  <c:v>1.2</c:v>
                </c:pt>
                <c:pt idx="17">
                  <c:v>1.4</c:v>
                </c:pt>
                <c:pt idx="18">
                  <c:v>1.6</c:v>
                </c:pt>
                <c:pt idx="19">
                  <c:v>1.8</c:v>
                </c:pt>
                <c:pt idx="20">
                  <c:v>2</c:v>
                </c:pt>
                <c:pt idx="21">
                  <c:v>2.2</c:v>
                </c:pt>
                <c:pt idx="22">
                  <c:v>2.4</c:v>
                </c:pt>
                <c:pt idx="23">
                  <c:v>2.6</c:v>
                </c:pt>
                <c:pt idx="24">
                  <c:v>2.8</c:v>
                </c:pt>
                <c:pt idx="25">
                  <c:v>3.0</c:v>
                </c:pt>
                <c:pt idx="26">
                  <c:v>3.200000000000001</c:v>
                </c:pt>
                <c:pt idx="27">
                  <c:v>3.400000000000001</c:v>
                </c:pt>
                <c:pt idx="28">
                  <c:v>3.600000000000001</c:v>
                </c:pt>
                <c:pt idx="29">
                  <c:v>3.800000000000001</c:v>
                </c:pt>
                <c:pt idx="30">
                  <c:v>4.000000000000001</c:v>
                </c:pt>
                <c:pt idx="31">
                  <c:v>4.200000000000001</c:v>
                </c:pt>
                <c:pt idx="32">
                  <c:v>4.400000000000001</c:v>
                </c:pt>
                <c:pt idx="33">
                  <c:v>4.600000000000001</c:v>
                </c:pt>
                <c:pt idx="34">
                  <c:v>4.800000000000002</c:v>
                </c:pt>
                <c:pt idx="35">
                  <c:v>5.000000000000002</c:v>
                </c:pt>
                <c:pt idx="36">
                  <c:v>5.200000000000002</c:v>
                </c:pt>
                <c:pt idx="37">
                  <c:v>5.400000000000002</c:v>
                </c:pt>
                <c:pt idx="38">
                  <c:v>5.600000000000002</c:v>
                </c:pt>
                <c:pt idx="39">
                  <c:v>5.800000000000002</c:v>
                </c:pt>
                <c:pt idx="40">
                  <c:v>6.000000000000003</c:v>
                </c:pt>
                <c:pt idx="41">
                  <c:v>6.200000000000003</c:v>
                </c:pt>
                <c:pt idx="42">
                  <c:v>6.400000000000003</c:v>
                </c:pt>
                <c:pt idx="43">
                  <c:v>6.600000000000003</c:v>
                </c:pt>
                <c:pt idx="44">
                  <c:v>6.800000000000003</c:v>
                </c:pt>
                <c:pt idx="45">
                  <c:v>7.000000000000004</c:v>
                </c:pt>
                <c:pt idx="46">
                  <c:v>7.200000000000004</c:v>
                </c:pt>
                <c:pt idx="47">
                  <c:v>7.400000000000004</c:v>
                </c:pt>
                <c:pt idx="48">
                  <c:v>7.600000000000004</c:v>
                </c:pt>
                <c:pt idx="49">
                  <c:v>7.800000000000004</c:v>
                </c:pt>
                <c:pt idx="50">
                  <c:v>8.000000000000003</c:v>
                </c:pt>
                <c:pt idx="51">
                  <c:v>8.200000000000003</c:v>
                </c:pt>
                <c:pt idx="52">
                  <c:v>8.400000000000002</c:v>
                </c:pt>
                <c:pt idx="53">
                  <c:v>8.600000000000001</c:v>
                </c:pt>
                <c:pt idx="54">
                  <c:v>8.8</c:v>
                </c:pt>
                <c:pt idx="55">
                  <c:v>9.0</c:v>
                </c:pt>
                <c:pt idx="56">
                  <c:v>9.2</c:v>
                </c:pt>
                <c:pt idx="57">
                  <c:v>9.399999999999998</c:v>
                </c:pt>
                <c:pt idx="58">
                  <c:v>9.599999999999997</c:v>
                </c:pt>
                <c:pt idx="59">
                  <c:v>9.799999999999997</c:v>
                </c:pt>
                <c:pt idx="60">
                  <c:v>9.999999999999996</c:v>
                </c:pt>
                <c:pt idx="61">
                  <c:v>10.2</c:v>
                </c:pt>
                <c:pt idx="62">
                  <c:v>10.39999999999999</c:v>
                </c:pt>
                <c:pt idx="63">
                  <c:v>10.59999999999999</c:v>
                </c:pt>
                <c:pt idx="64">
                  <c:v>10.79999999999999</c:v>
                </c:pt>
                <c:pt idx="65">
                  <c:v>11</c:v>
                </c:pt>
                <c:pt idx="66">
                  <c:v>11.2</c:v>
                </c:pt>
                <c:pt idx="67">
                  <c:v>11.4</c:v>
                </c:pt>
                <c:pt idx="68">
                  <c:v>11.6</c:v>
                </c:pt>
                <c:pt idx="69">
                  <c:v>11.79999999999999</c:v>
                </c:pt>
                <c:pt idx="70">
                  <c:v>11.99999999999999</c:v>
                </c:pt>
                <c:pt idx="71">
                  <c:v>12.19999999999999</c:v>
                </c:pt>
                <c:pt idx="72">
                  <c:v>12.39999999999999</c:v>
                </c:pt>
                <c:pt idx="73">
                  <c:v>12.59999999999999</c:v>
                </c:pt>
                <c:pt idx="74">
                  <c:v>12.79999999999999</c:v>
                </c:pt>
                <c:pt idx="75">
                  <c:v>12.99999999999999</c:v>
                </c:pt>
                <c:pt idx="76">
                  <c:v>13.19999999999999</c:v>
                </c:pt>
                <c:pt idx="77">
                  <c:v>13.39999999999998</c:v>
                </c:pt>
                <c:pt idx="78">
                  <c:v>13.59999999999998</c:v>
                </c:pt>
                <c:pt idx="79">
                  <c:v>13.79999999999998</c:v>
                </c:pt>
                <c:pt idx="80">
                  <c:v>13.99999999999998</c:v>
                </c:pt>
                <c:pt idx="81">
                  <c:v>14.19999999999998</c:v>
                </c:pt>
                <c:pt idx="82">
                  <c:v>14.39999999999998</c:v>
                </c:pt>
                <c:pt idx="83">
                  <c:v>14.59999999999998</c:v>
                </c:pt>
                <c:pt idx="84">
                  <c:v>14.79999999999998</c:v>
                </c:pt>
                <c:pt idx="85">
                  <c:v>14.99999999999998</c:v>
                </c:pt>
                <c:pt idx="86">
                  <c:v>15.19999999999998</c:v>
                </c:pt>
                <c:pt idx="87">
                  <c:v>15.39999999999998</c:v>
                </c:pt>
                <c:pt idx="88">
                  <c:v>15.59999999999998</c:v>
                </c:pt>
                <c:pt idx="89">
                  <c:v>15.79999999999998</c:v>
                </c:pt>
                <c:pt idx="90">
                  <c:v>15.99999999999998</c:v>
                </c:pt>
                <c:pt idx="91">
                  <c:v>16.19999999999997</c:v>
                </c:pt>
                <c:pt idx="92">
                  <c:v>16.39999999999997</c:v>
                </c:pt>
                <c:pt idx="93">
                  <c:v>16.59999999999997</c:v>
                </c:pt>
                <c:pt idx="94">
                  <c:v>16.79999999999997</c:v>
                </c:pt>
                <c:pt idx="95">
                  <c:v>16.99999999999997</c:v>
                </c:pt>
                <c:pt idx="96">
                  <c:v>17.19999999999997</c:v>
                </c:pt>
              </c:numCache>
            </c:numRef>
          </c:xVal>
          <c:yVal>
            <c:numRef>
              <c:f>'Normal(m,s)'!$E$5:$E$101</c:f>
              <c:numCache>
                <c:formatCode>0.000000</c:formatCode>
                <c:ptCount val="97"/>
                <c:pt idx="0">
                  <c:v>0.0539909665131881</c:v>
                </c:pt>
                <c:pt idx="1">
                  <c:v>0.0789501583008941</c:v>
                </c:pt>
                <c:pt idx="2">
                  <c:v>0.110920834679456</c:v>
                </c:pt>
                <c:pt idx="3">
                  <c:v>0.149727465635745</c:v>
                </c:pt>
                <c:pt idx="4">
                  <c:v>0.194186054983213</c:v>
                </c:pt>
                <c:pt idx="5">
                  <c:v>0.241970724519143</c:v>
                </c:pt>
                <c:pt idx="6">
                  <c:v>0.289691552761483</c:v>
                </c:pt>
                <c:pt idx="7">
                  <c:v>0.3332246028918</c:v>
                </c:pt>
                <c:pt idx="8">
                  <c:v>0.368270140303323</c:v>
                </c:pt>
                <c:pt idx="9">
                  <c:v>0.391042693975456</c:v>
                </c:pt>
                <c:pt idx="10">
                  <c:v>0.398942280401433</c:v>
                </c:pt>
                <c:pt idx="11">
                  <c:v>0.391042693975456</c:v>
                </c:pt>
                <c:pt idx="12">
                  <c:v>0.368270140303323</c:v>
                </c:pt>
                <c:pt idx="13">
                  <c:v>0.3332246028918</c:v>
                </c:pt>
                <c:pt idx="14">
                  <c:v>0.289691552761483</c:v>
                </c:pt>
                <c:pt idx="15">
                  <c:v>0.241970724519143</c:v>
                </c:pt>
                <c:pt idx="16">
                  <c:v>0.194186054983213</c:v>
                </c:pt>
                <c:pt idx="17">
                  <c:v>0.149727465635745</c:v>
                </c:pt>
                <c:pt idx="18">
                  <c:v>0.110920834679456</c:v>
                </c:pt>
                <c:pt idx="19">
                  <c:v>0.0789501583008942</c:v>
                </c:pt>
                <c:pt idx="20">
                  <c:v>0.0539909665131881</c:v>
                </c:pt>
                <c:pt idx="21">
                  <c:v>0.0354745928462315</c:v>
                </c:pt>
                <c:pt idx="22">
                  <c:v>0.0223945302948429</c:v>
                </c:pt>
                <c:pt idx="23">
                  <c:v>0.0135829692336856</c:v>
                </c:pt>
                <c:pt idx="24">
                  <c:v>0.00791545158297995</c:v>
                </c:pt>
                <c:pt idx="25">
                  <c:v>0.004431848411938</c:v>
                </c:pt>
                <c:pt idx="26">
                  <c:v>0.00238408820146484</c:v>
                </c:pt>
                <c:pt idx="27">
                  <c:v>0.00123221916847302</c:v>
                </c:pt>
                <c:pt idx="28">
                  <c:v>0.00061190193011377</c:v>
                </c:pt>
                <c:pt idx="29">
                  <c:v>0.000291946925791459</c:v>
                </c:pt>
                <c:pt idx="30">
                  <c:v>0.000133830225764885</c:v>
                </c:pt>
                <c:pt idx="31">
                  <c:v>5.89430677565396E-5</c:v>
                </c:pt>
                <c:pt idx="32">
                  <c:v>2.49424712900534E-5</c:v>
                </c:pt>
                <c:pt idx="33">
                  <c:v>1.01408520654867E-5</c:v>
                </c:pt>
                <c:pt idx="34">
                  <c:v>3.96129909103204E-6</c:v>
                </c:pt>
                <c:pt idx="35">
                  <c:v>1.48671951473428E-6</c:v>
                </c:pt>
                <c:pt idx="36">
                  <c:v>5.36103534469756E-7</c:v>
                </c:pt>
                <c:pt idx="37">
                  <c:v>1.85736184455527E-7</c:v>
                </c:pt>
                <c:pt idx="38">
                  <c:v>6.18262050016577E-8</c:v>
                </c:pt>
                <c:pt idx="39">
                  <c:v>1.97731964062444E-8</c:v>
                </c:pt>
                <c:pt idx="40">
                  <c:v>6.0758828498232E-9</c:v>
                </c:pt>
                <c:pt idx="41">
                  <c:v>1.79378390796405E-9</c:v>
                </c:pt>
                <c:pt idx="42">
                  <c:v>5.08814028164497E-10</c:v>
                </c:pt>
                <c:pt idx="43">
                  <c:v>1.38667999416528E-10</c:v>
                </c:pt>
                <c:pt idx="44">
                  <c:v>3.63096150179171E-11</c:v>
                </c:pt>
                <c:pt idx="45">
                  <c:v>9.13472040836436E-12</c:v>
                </c:pt>
                <c:pt idx="46">
                  <c:v>2.20798996313708E-12</c:v>
                </c:pt>
                <c:pt idx="47">
                  <c:v>5.12775363679653E-13</c:v>
                </c:pt>
                <c:pt idx="48">
                  <c:v>1.1441564901801E-13</c:v>
                </c:pt>
                <c:pt idx="49">
                  <c:v>2.45285528569634E-14</c:v>
                </c:pt>
                <c:pt idx="50">
                  <c:v>5.05227108353675E-15</c:v>
                </c:pt>
                <c:pt idx="51">
                  <c:v>9.99837874849689E-16</c:v>
                </c:pt>
                <c:pt idx="52">
                  <c:v>1.90108153790794E-16</c:v>
                </c:pt>
                <c:pt idx="53">
                  <c:v>3.47296274856616E-17</c:v>
                </c:pt>
                <c:pt idx="54">
                  <c:v>6.09575812956242E-18</c:v>
                </c:pt>
                <c:pt idx="55">
                  <c:v>1.02797735716689E-18</c:v>
                </c:pt>
                <c:pt idx="56">
                  <c:v>1.66558803237993E-19</c:v>
                </c:pt>
                <c:pt idx="57">
                  <c:v>2.59286470110043E-20</c:v>
                </c:pt>
                <c:pt idx="58">
                  <c:v>3.87811193174704E-21</c:v>
                </c:pt>
                <c:pt idx="59">
                  <c:v>5.57300002272089E-22</c:v>
                </c:pt>
                <c:pt idx="60">
                  <c:v>7.69459862670669E-23</c:v>
                </c:pt>
                <c:pt idx="61">
                  <c:v>1.02073055943065E-23</c:v>
                </c:pt>
                <c:pt idx="62">
                  <c:v>1.30096161992399E-24</c:v>
                </c:pt>
                <c:pt idx="63">
                  <c:v>1.59311113270106E-25</c:v>
                </c:pt>
                <c:pt idx="64">
                  <c:v>1.87437240234194E-26</c:v>
                </c:pt>
                <c:pt idx="65">
                  <c:v>2.11881925350952E-27</c:v>
                </c:pt>
                <c:pt idx="66">
                  <c:v>2.30123070884833E-28</c:v>
                </c:pt>
                <c:pt idx="67">
                  <c:v>2.40134540000877E-29</c:v>
                </c:pt>
                <c:pt idx="68">
                  <c:v>2.40756113183957E-30</c:v>
                </c:pt>
                <c:pt idx="69">
                  <c:v>2.31914677725641E-31</c:v>
                </c:pt>
                <c:pt idx="70">
                  <c:v>2.14638373566333E-32</c:v>
                </c:pt>
                <c:pt idx="71">
                  <c:v>1.90859913463706E-33</c:v>
                </c:pt>
                <c:pt idx="72">
                  <c:v>1.6306107348399E-34</c:v>
                </c:pt>
                <c:pt idx="73">
                  <c:v>1.3384867992545E-35</c:v>
                </c:pt>
                <c:pt idx="74">
                  <c:v>1.05561635024547E-36</c:v>
                </c:pt>
                <c:pt idx="75">
                  <c:v>7.99882775700829E-38</c:v>
                </c:pt>
                <c:pt idx="76">
                  <c:v>5.82337559973764E-39</c:v>
                </c:pt>
                <c:pt idx="77">
                  <c:v>4.07334767752871E-40</c:v>
                </c:pt>
                <c:pt idx="78">
                  <c:v>2.73751419235589E-41</c:v>
                </c:pt>
                <c:pt idx="79">
                  <c:v>1.76762241025393E-42</c:v>
                </c:pt>
                <c:pt idx="80">
                  <c:v>1.09660655938925E-43</c:v>
                </c:pt>
                <c:pt idx="81">
                  <c:v>6.53642677532033E-45</c:v>
                </c:pt>
                <c:pt idx="82">
                  <c:v>3.74333057988607E-46</c:v>
                </c:pt>
                <c:pt idx="83">
                  <c:v>2.05970102240952E-47</c:v>
                </c:pt>
                <c:pt idx="84">
                  <c:v>1.08887595532806E-48</c:v>
                </c:pt>
                <c:pt idx="85">
                  <c:v>5.53070954984614E-50</c:v>
                </c:pt>
                <c:pt idx="86">
                  <c:v>2.69905364438917E-51</c:v>
                </c:pt>
                <c:pt idx="87">
                  <c:v>1.26552404660522E-52</c:v>
                </c:pt>
                <c:pt idx="88">
                  <c:v>5.70108489094331E-54</c:v>
                </c:pt>
                <c:pt idx="89">
                  <c:v>2.46758905156654E-55</c:v>
                </c:pt>
                <c:pt idx="90">
                  <c:v>1.02616307279231E-56</c:v>
                </c:pt>
                <c:pt idx="91">
                  <c:v>4.10004053583496E-58</c:v>
                </c:pt>
                <c:pt idx="92">
                  <c:v>1.57393987977732E-59</c:v>
                </c:pt>
                <c:pt idx="93">
                  <c:v>5.80518880653153E-61</c:v>
                </c:pt>
                <c:pt idx="94">
                  <c:v>2.05718230302961E-62</c:v>
                </c:pt>
                <c:pt idx="95">
                  <c:v>7.00418213432196E-64</c:v>
                </c:pt>
                <c:pt idx="96">
                  <c:v>2.29123852370055E-65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239192"/>
        <c:axId val="2122242328"/>
      </c:scatterChart>
      <c:valAx>
        <c:axId val="2122239192"/>
        <c:scaling>
          <c:orientation val="minMax"/>
        </c:scaling>
        <c:delete val="0"/>
        <c:axPos val="b"/>
        <c:majorGridlines/>
        <c:numFmt formatCode="0.000" sourceLinked="1"/>
        <c:majorTickMark val="out"/>
        <c:minorTickMark val="none"/>
        <c:tickLblPos val="nextTo"/>
        <c:crossAx val="2122242328"/>
        <c:crosses val="autoZero"/>
        <c:crossBetween val="midCat"/>
      </c:valAx>
      <c:valAx>
        <c:axId val="2122242328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21222391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607168107483068"/>
          <c:y val="0.0319767441860465"/>
          <c:w val="0.723853484435941"/>
          <c:h val="0.9218721388024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'Normal(m,s)'!$I$4</c:f>
              <c:strCache>
                <c:ptCount val="1"/>
                <c:pt idx="0">
                  <c:v>N(m=1;s=0.5)-CDF</c:v>
                </c:pt>
              </c:strCache>
            </c:strRef>
          </c:tx>
          <c:spPr>
            <a:ln w="22225"/>
          </c:spPr>
          <c:marker>
            <c:symbol val="none"/>
          </c:marker>
          <c:xVal>
            <c:numRef>
              <c:f>'Normal(m,s)'!$C$5:$C$101</c:f>
              <c:numCache>
                <c:formatCode>0.000</c:formatCode>
                <c:ptCount val="97"/>
                <c:pt idx="0">
                  <c:v>-2.0</c:v>
                </c:pt>
                <c:pt idx="1">
                  <c:v>-1.8</c:v>
                </c:pt>
                <c:pt idx="2">
                  <c:v>-1.6</c:v>
                </c:pt>
                <c:pt idx="3">
                  <c:v>-1.4</c:v>
                </c:pt>
                <c:pt idx="4">
                  <c:v>-1.2</c:v>
                </c:pt>
                <c:pt idx="5">
                  <c:v>-1.0</c:v>
                </c:pt>
                <c:pt idx="6">
                  <c:v>-0.8</c:v>
                </c:pt>
                <c:pt idx="7">
                  <c:v>-0.6</c:v>
                </c:pt>
                <c:pt idx="8">
                  <c:v>-0.4</c:v>
                </c:pt>
                <c:pt idx="9">
                  <c:v>-0.2</c:v>
                </c:pt>
                <c:pt idx="10">
                  <c:v>-2.77555756156289E-16</c:v>
                </c:pt>
                <c:pt idx="11">
                  <c:v>0.2</c:v>
                </c:pt>
                <c:pt idx="12">
                  <c:v>0.4</c:v>
                </c:pt>
                <c:pt idx="13">
                  <c:v>0.6</c:v>
                </c:pt>
                <c:pt idx="14">
                  <c:v>0.8</c:v>
                </c:pt>
                <c:pt idx="15">
                  <c:v>1</c:v>
                </c:pt>
                <c:pt idx="16">
                  <c:v>1.2</c:v>
                </c:pt>
                <c:pt idx="17">
                  <c:v>1.4</c:v>
                </c:pt>
                <c:pt idx="18">
                  <c:v>1.6</c:v>
                </c:pt>
                <c:pt idx="19">
                  <c:v>1.8</c:v>
                </c:pt>
                <c:pt idx="20">
                  <c:v>2</c:v>
                </c:pt>
                <c:pt idx="21">
                  <c:v>2.2</c:v>
                </c:pt>
                <c:pt idx="22">
                  <c:v>2.4</c:v>
                </c:pt>
                <c:pt idx="23">
                  <c:v>2.6</c:v>
                </c:pt>
                <c:pt idx="24">
                  <c:v>2.8</c:v>
                </c:pt>
                <c:pt idx="25">
                  <c:v>3.0</c:v>
                </c:pt>
                <c:pt idx="26">
                  <c:v>3.200000000000001</c:v>
                </c:pt>
                <c:pt idx="27">
                  <c:v>3.400000000000001</c:v>
                </c:pt>
                <c:pt idx="28">
                  <c:v>3.600000000000001</c:v>
                </c:pt>
                <c:pt idx="29">
                  <c:v>3.800000000000001</c:v>
                </c:pt>
                <c:pt idx="30">
                  <c:v>4.000000000000001</c:v>
                </c:pt>
                <c:pt idx="31">
                  <c:v>4.200000000000001</c:v>
                </c:pt>
                <c:pt idx="32">
                  <c:v>4.400000000000001</c:v>
                </c:pt>
                <c:pt idx="33">
                  <c:v>4.600000000000001</c:v>
                </c:pt>
                <c:pt idx="34">
                  <c:v>4.800000000000002</c:v>
                </c:pt>
                <c:pt idx="35">
                  <c:v>5.000000000000002</c:v>
                </c:pt>
                <c:pt idx="36">
                  <c:v>5.200000000000002</c:v>
                </c:pt>
                <c:pt idx="37">
                  <c:v>5.400000000000002</c:v>
                </c:pt>
                <c:pt idx="38">
                  <c:v>5.600000000000002</c:v>
                </c:pt>
                <c:pt idx="39">
                  <c:v>5.800000000000002</c:v>
                </c:pt>
                <c:pt idx="40">
                  <c:v>6.000000000000003</c:v>
                </c:pt>
                <c:pt idx="41">
                  <c:v>6.200000000000003</c:v>
                </c:pt>
                <c:pt idx="42">
                  <c:v>6.400000000000003</c:v>
                </c:pt>
                <c:pt idx="43">
                  <c:v>6.600000000000003</c:v>
                </c:pt>
                <c:pt idx="44">
                  <c:v>6.800000000000003</c:v>
                </c:pt>
                <c:pt idx="45">
                  <c:v>7.000000000000004</c:v>
                </c:pt>
                <c:pt idx="46">
                  <c:v>7.200000000000004</c:v>
                </c:pt>
                <c:pt idx="47">
                  <c:v>7.400000000000004</c:v>
                </c:pt>
                <c:pt idx="48">
                  <c:v>7.600000000000004</c:v>
                </c:pt>
                <c:pt idx="49">
                  <c:v>7.800000000000004</c:v>
                </c:pt>
                <c:pt idx="50">
                  <c:v>8.000000000000003</c:v>
                </c:pt>
                <c:pt idx="51">
                  <c:v>8.200000000000003</c:v>
                </c:pt>
                <c:pt idx="52">
                  <c:v>8.400000000000002</c:v>
                </c:pt>
                <c:pt idx="53">
                  <c:v>8.600000000000001</c:v>
                </c:pt>
                <c:pt idx="54">
                  <c:v>8.8</c:v>
                </c:pt>
                <c:pt idx="55">
                  <c:v>9.0</c:v>
                </c:pt>
                <c:pt idx="56">
                  <c:v>9.2</c:v>
                </c:pt>
                <c:pt idx="57">
                  <c:v>9.399999999999998</c:v>
                </c:pt>
                <c:pt idx="58">
                  <c:v>9.599999999999997</c:v>
                </c:pt>
                <c:pt idx="59">
                  <c:v>9.799999999999997</c:v>
                </c:pt>
                <c:pt idx="60">
                  <c:v>9.999999999999996</c:v>
                </c:pt>
                <c:pt idx="61">
                  <c:v>10.2</c:v>
                </c:pt>
                <c:pt idx="62">
                  <c:v>10.39999999999999</c:v>
                </c:pt>
                <c:pt idx="63">
                  <c:v>10.59999999999999</c:v>
                </c:pt>
                <c:pt idx="64">
                  <c:v>10.79999999999999</c:v>
                </c:pt>
                <c:pt idx="65">
                  <c:v>11</c:v>
                </c:pt>
                <c:pt idx="66">
                  <c:v>11.2</c:v>
                </c:pt>
                <c:pt idx="67">
                  <c:v>11.4</c:v>
                </c:pt>
                <c:pt idx="68">
                  <c:v>11.6</c:v>
                </c:pt>
                <c:pt idx="69">
                  <c:v>11.79999999999999</c:v>
                </c:pt>
                <c:pt idx="70">
                  <c:v>11.99999999999999</c:v>
                </c:pt>
                <c:pt idx="71">
                  <c:v>12.19999999999999</c:v>
                </c:pt>
                <c:pt idx="72">
                  <c:v>12.39999999999999</c:v>
                </c:pt>
                <c:pt idx="73">
                  <c:v>12.59999999999999</c:v>
                </c:pt>
                <c:pt idx="74">
                  <c:v>12.79999999999999</c:v>
                </c:pt>
                <c:pt idx="75">
                  <c:v>12.99999999999999</c:v>
                </c:pt>
                <c:pt idx="76">
                  <c:v>13.19999999999999</c:v>
                </c:pt>
                <c:pt idx="77">
                  <c:v>13.39999999999998</c:v>
                </c:pt>
                <c:pt idx="78">
                  <c:v>13.59999999999998</c:v>
                </c:pt>
                <c:pt idx="79">
                  <c:v>13.79999999999998</c:v>
                </c:pt>
                <c:pt idx="80">
                  <c:v>13.99999999999998</c:v>
                </c:pt>
                <c:pt idx="81">
                  <c:v>14.19999999999998</c:v>
                </c:pt>
                <c:pt idx="82">
                  <c:v>14.39999999999998</c:v>
                </c:pt>
                <c:pt idx="83">
                  <c:v>14.59999999999998</c:v>
                </c:pt>
                <c:pt idx="84">
                  <c:v>14.79999999999998</c:v>
                </c:pt>
                <c:pt idx="85">
                  <c:v>14.99999999999998</c:v>
                </c:pt>
                <c:pt idx="86">
                  <c:v>15.19999999999998</c:v>
                </c:pt>
                <c:pt idx="87">
                  <c:v>15.39999999999998</c:v>
                </c:pt>
                <c:pt idx="88">
                  <c:v>15.59999999999998</c:v>
                </c:pt>
                <c:pt idx="89">
                  <c:v>15.79999999999998</c:v>
                </c:pt>
                <c:pt idx="90">
                  <c:v>15.99999999999998</c:v>
                </c:pt>
                <c:pt idx="91">
                  <c:v>16.19999999999997</c:v>
                </c:pt>
                <c:pt idx="92">
                  <c:v>16.39999999999997</c:v>
                </c:pt>
                <c:pt idx="93">
                  <c:v>16.59999999999997</c:v>
                </c:pt>
                <c:pt idx="94">
                  <c:v>16.79999999999997</c:v>
                </c:pt>
                <c:pt idx="95">
                  <c:v>16.99999999999997</c:v>
                </c:pt>
                <c:pt idx="96">
                  <c:v>17.19999999999997</c:v>
                </c:pt>
              </c:numCache>
            </c:numRef>
          </c:xVal>
          <c:yVal>
            <c:numRef>
              <c:f>'Normal(m,s)'!$I$5:$I$101</c:f>
              <c:numCache>
                <c:formatCode>0.000000</c:formatCode>
                <c:ptCount val="97"/>
                <c:pt idx="0">
                  <c:v>9.86587645037694E-10</c:v>
                </c:pt>
                <c:pt idx="1">
                  <c:v>1.07175902583109E-8</c:v>
                </c:pt>
                <c:pt idx="2">
                  <c:v>9.96442631693346E-8</c:v>
                </c:pt>
                <c:pt idx="3">
                  <c:v>7.93328151975589E-7</c:v>
                </c:pt>
                <c:pt idx="4">
                  <c:v>5.41254390770384E-6</c:v>
                </c:pt>
                <c:pt idx="5">
                  <c:v>3.16712418331199E-5</c:v>
                </c:pt>
                <c:pt idx="6">
                  <c:v>0.000159108590157533</c:v>
                </c:pt>
                <c:pt idx="7">
                  <c:v>0.000687137937915847</c:v>
                </c:pt>
                <c:pt idx="8">
                  <c:v>0.00255513033042793</c:v>
                </c:pt>
                <c:pt idx="9">
                  <c:v>0.00819753592459611</c:v>
                </c:pt>
                <c:pt idx="10">
                  <c:v>0.0227501319481792</c:v>
                </c:pt>
                <c:pt idx="11">
                  <c:v>0.0547992916995579</c:v>
                </c:pt>
                <c:pt idx="12">
                  <c:v>0.115069670221708</c:v>
                </c:pt>
                <c:pt idx="13">
                  <c:v>0.211855398583397</c:v>
                </c:pt>
                <c:pt idx="14">
                  <c:v>0.344578258389676</c:v>
                </c:pt>
                <c:pt idx="15">
                  <c:v>0.5</c:v>
                </c:pt>
                <c:pt idx="16">
                  <c:v>0.655421741610324</c:v>
                </c:pt>
                <c:pt idx="17">
                  <c:v>0.788144601416603</c:v>
                </c:pt>
                <c:pt idx="18">
                  <c:v>0.884930329778291</c:v>
                </c:pt>
                <c:pt idx="19">
                  <c:v>0.945200708300442</c:v>
                </c:pt>
                <c:pt idx="20">
                  <c:v>0.977249868051821</c:v>
                </c:pt>
                <c:pt idx="21">
                  <c:v>0.991802464075404</c:v>
                </c:pt>
                <c:pt idx="22">
                  <c:v>0.997444869669572</c:v>
                </c:pt>
                <c:pt idx="23">
                  <c:v>0.999312862062084</c:v>
                </c:pt>
                <c:pt idx="24">
                  <c:v>0.999840891409842</c:v>
                </c:pt>
                <c:pt idx="25">
                  <c:v>0.999968328758167</c:v>
                </c:pt>
                <c:pt idx="26">
                  <c:v>0.999994587456092</c:v>
                </c:pt>
                <c:pt idx="27">
                  <c:v>0.999999206671848</c:v>
                </c:pt>
                <c:pt idx="28">
                  <c:v>0.999999900355737</c:v>
                </c:pt>
                <c:pt idx="29">
                  <c:v>0.99999998928241</c:v>
                </c:pt>
                <c:pt idx="30">
                  <c:v>0.999999999013412</c:v>
                </c:pt>
                <c:pt idx="31">
                  <c:v>0.999999999922311</c:v>
                </c:pt>
                <c:pt idx="32">
                  <c:v>0.999999999994769</c:v>
                </c:pt>
                <c:pt idx="33">
                  <c:v>0.999999999999699</c:v>
                </c:pt>
                <c:pt idx="34">
                  <c:v>0.999999999999985</c:v>
                </c:pt>
                <c:pt idx="35">
                  <c:v>0.999999999999999</c:v>
                </c:pt>
                <c:pt idx="36">
                  <c:v>1.0</c:v>
                </c:pt>
                <c:pt idx="37">
                  <c:v>1.0</c:v>
                </c:pt>
                <c:pt idx="38">
                  <c:v>1.0</c:v>
                </c:pt>
                <c:pt idx="39">
                  <c:v>1.0</c:v>
                </c:pt>
                <c:pt idx="40">
                  <c:v>1.0</c:v>
                </c:pt>
                <c:pt idx="41">
                  <c:v>1.0</c:v>
                </c:pt>
                <c:pt idx="42">
                  <c:v>1.0</c:v>
                </c:pt>
                <c:pt idx="43">
                  <c:v>1.0</c:v>
                </c:pt>
                <c:pt idx="44">
                  <c:v>1.0</c:v>
                </c:pt>
                <c:pt idx="45">
                  <c:v>1.0</c:v>
                </c:pt>
                <c:pt idx="46">
                  <c:v>1.0</c:v>
                </c:pt>
                <c:pt idx="47">
                  <c:v>1.0</c:v>
                </c:pt>
                <c:pt idx="48">
                  <c:v>1.0</c:v>
                </c:pt>
                <c:pt idx="49">
                  <c:v>1.0</c:v>
                </c:pt>
                <c:pt idx="50">
                  <c:v>1.0</c:v>
                </c:pt>
                <c:pt idx="51">
                  <c:v>1.0</c:v>
                </c:pt>
                <c:pt idx="52">
                  <c:v>1.0</c:v>
                </c:pt>
                <c:pt idx="53">
                  <c:v>1.0</c:v>
                </c:pt>
                <c:pt idx="54">
                  <c:v>1.0</c:v>
                </c:pt>
                <c:pt idx="55">
                  <c:v>1.0</c:v>
                </c:pt>
                <c:pt idx="56">
                  <c:v>1.0</c:v>
                </c:pt>
                <c:pt idx="57">
                  <c:v>1.0</c:v>
                </c:pt>
                <c:pt idx="58">
                  <c:v>1.0</c:v>
                </c:pt>
                <c:pt idx="59">
                  <c:v>1.0</c:v>
                </c:pt>
                <c:pt idx="60">
                  <c:v>1.0</c:v>
                </c:pt>
                <c:pt idx="61">
                  <c:v>1.0</c:v>
                </c:pt>
                <c:pt idx="62">
                  <c:v>1.0</c:v>
                </c:pt>
                <c:pt idx="63">
                  <c:v>1.0</c:v>
                </c:pt>
                <c:pt idx="64">
                  <c:v>1.0</c:v>
                </c:pt>
                <c:pt idx="65">
                  <c:v>1.0</c:v>
                </c:pt>
                <c:pt idx="66">
                  <c:v>1.0</c:v>
                </c:pt>
                <c:pt idx="67">
                  <c:v>1.0</c:v>
                </c:pt>
                <c:pt idx="68">
                  <c:v>1.0</c:v>
                </c:pt>
                <c:pt idx="69">
                  <c:v>1.0</c:v>
                </c:pt>
                <c:pt idx="70">
                  <c:v>1.0</c:v>
                </c:pt>
                <c:pt idx="71">
                  <c:v>1.0</c:v>
                </c:pt>
                <c:pt idx="72">
                  <c:v>1.0</c:v>
                </c:pt>
                <c:pt idx="73">
                  <c:v>1.0</c:v>
                </c:pt>
                <c:pt idx="74">
                  <c:v>1.0</c:v>
                </c:pt>
                <c:pt idx="75">
                  <c:v>1.0</c:v>
                </c:pt>
                <c:pt idx="76">
                  <c:v>1.0</c:v>
                </c:pt>
                <c:pt idx="77">
                  <c:v>1.0</c:v>
                </c:pt>
                <c:pt idx="78">
                  <c:v>1.0</c:v>
                </c:pt>
                <c:pt idx="79">
                  <c:v>1.0</c:v>
                </c:pt>
                <c:pt idx="80">
                  <c:v>1.0</c:v>
                </c:pt>
                <c:pt idx="81">
                  <c:v>1.0</c:v>
                </c:pt>
                <c:pt idx="82">
                  <c:v>1.0</c:v>
                </c:pt>
                <c:pt idx="83">
                  <c:v>1.0</c:v>
                </c:pt>
                <c:pt idx="84">
                  <c:v>1.0</c:v>
                </c:pt>
                <c:pt idx="85">
                  <c:v>1.0</c:v>
                </c:pt>
                <c:pt idx="86">
                  <c:v>1.0</c:v>
                </c:pt>
                <c:pt idx="87">
                  <c:v>1.0</c:v>
                </c:pt>
                <c:pt idx="88">
                  <c:v>1.0</c:v>
                </c:pt>
                <c:pt idx="89">
                  <c:v>1.0</c:v>
                </c:pt>
                <c:pt idx="90">
                  <c:v>1.0</c:v>
                </c:pt>
                <c:pt idx="91">
                  <c:v>1.0</c:v>
                </c:pt>
                <c:pt idx="92">
                  <c:v>1.0</c:v>
                </c:pt>
                <c:pt idx="93">
                  <c:v>1.0</c:v>
                </c:pt>
                <c:pt idx="94">
                  <c:v>1.0</c:v>
                </c:pt>
                <c:pt idx="95">
                  <c:v>1.0</c:v>
                </c:pt>
                <c:pt idx="96">
                  <c:v>1.0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'Normal(m,s)'!$L$4</c:f>
              <c:strCache>
                <c:ptCount val="1"/>
                <c:pt idx="0">
                  <c:v>N(m=2;s=1)-CDF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'Normal(m,s)'!$C$5:$C$101</c:f>
              <c:numCache>
                <c:formatCode>0.000</c:formatCode>
                <c:ptCount val="97"/>
                <c:pt idx="0">
                  <c:v>-2.0</c:v>
                </c:pt>
                <c:pt idx="1">
                  <c:v>-1.8</c:v>
                </c:pt>
                <c:pt idx="2">
                  <c:v>-1.6</c:v>
                </c:pt>
                <c:pt idx="3">
                  <c:v>-1.4</c:v>
                </c:pt>
                <c:pt idx="4">
                  <c:v>-1.2</c:v>
                </c:pt>
                <c:pt idx="5">
                  <c:v>-1.0</c:v>
                </c:pt>
                <c:pt idx="6">
                  <c:v>-0.8</c:v>
                </c:pt>
                <c:pt idx="7">
                  <c:v>-0.6</c:v>
                </c:pt>
                <c:pt idx="8">
                  <c:v>-0.4</c:v>
                </c:pt>
                <c:pt idx="9">
                  <c:v>-0.2</c:v>
                </c:pt>
                <c:pt idx="10">
                  <c:v>-2.77555756156289E-16</c:v>
                </c:pt>
                <c:pt idx="11">
                  <c:v>0.2</c:v>
                </c:pt>
                <c:pt idx="12">
                  <c:v>0.4</c:v>
                </c:pt>
                <c:pt idx="13">
                  <c:v>0.6</c:v>
                </c:pt>
                <c:pt idx="14">
                  <c:v>0.8</c:v>
                </c:pt>
                <c:pt idx="15">
                  <c:v>1</c:v>
                </c:pt>
                <c:pt idx="16">
                  <c:v>1.2</c:v>
                </c:pt>
                <c:pt idx="17">
                  <c:v>1.4</c:v>
                </c:pt>
                <c:pt idx="18">
                  <c:v>1.6</c:v>
                </c:pt>
                <c:pt idx="19">
                  <c:v>1.8</c:v>
                </c:pt>
                <c:pt idx="20">
                  <c:v>2</c:v>
                </c:pt>
                <c:pt idx="21">
                  <c:v>2.2</c:v>
                </c:pt>
                <c:pt idx="22">
                  <c:v>2.4</c:v>
                </c:pt>
                <c:pt idx="23">
                  <c:v>2.6</c:v>
                </c:pt>
                <c:pt idx="24">
                  <c:v>2.8</c:v>
                </c:pt>
                <c:pt idx="25">
                  <c:v>3.0</c:v>
                </c:pt>
                <c:pt idx="26">
                  <c:v>3.200000000000001</c:v>
                </c:pt>
                <c:pt idx="27">
                  <c:v>3.400000000000001</c:v>
                </c:pt>
                <c:pt idx="28">
                  <c:v>3.600000000000001</c:v>
                </c:pt>
                <c:pt idx="29">
                  <c:v>3.800000000000001</c:v>
                </c:pt>
                <c:pt idx="30">
                  <c:v>4.000000000000001</c:v>
                </c:pt>
                <c:pt idx="31">
                  <c:v>4.200000000000001</c:v>
                </c:pt>
                <c:pt idx="32">
                  <c:v>4.400000000000001</c:v>
                </c:pt>
                <c:pt idx="33">
                  <c:v>4.600000000000001</c:v>
                </c:pt>
                <c:pt idx="34">
                  <c:v>4.800000000000002</c:v>
                </c:pt>
                <c:pt idx="35">
                  <c:v>5.000000000000002</c:v>
                </c:pt>
                <c:pt idx="36">
                  <c:v>5.200000000000002</c:v>
                </c:pt>
                <c:pt idx="37">
                  <c:v>5.400000000000002</c:v>
                </c:pt>
                <c:pt idx="38">
                  <c:v>5.600000000000002</c:v>
                </c:pt>
                <c:pt idx="39">
                  <c:v>5.800000000000002</c:v>
                </c:pt>
                <c:pt idx="40">
                  <c:v>6.000000000000003</c:v>
                </c:pt>
                <c:pt idx="41">
                  <c:v>6.200000000000003</c:v>
                </c:pt>
                <c:pt idx="42">
                  <c:v>6.400000000000003</c:v>
                </c:pt>
                <c:pt idx="43">
                  <c:v>6.600000000000003</c:v>
                </c:pt>
                <c:pt idx="44">
                  <c:v>6.800000000000003</c:v>
                </c:pt>
                <c:pt idx="45">
                  <c:v>7.000000000000004</c:v>
                </c:pt>
                <c:pt idx="46">
                  <c:v>7.200000000000004</c:v>
                </c:pt>
                <c:pt idx="47">
                  <c:v>7.400000000000004</c:v>
                </c:pt>
                <c:pt idx="48">
                  <c:v>7.600000000000004</c:v>
                </c:pt>
                <c:pt idx="49">
                  <c:v>7.800000000000004</c:v>
                </c:pt>
                <c:pt idx="50">
                  <c:v>8.000000000000003</c:v>
                </c:pt>
                <c:pt idx="51">
                  <c:v>8.200000000000003</c:v>
                </c:pt>
                <c:pt idx="52">
                  <c:v>8.400000000000002</c:v>
                </c:pt>
                <c:pt idx="53">
                  <c:v>8.600000000000001</c:v>
                </c:pt>
                <c:pt idx="54">
                  <c:v>8.8</c:v>
                </c:pt>
                <c:pt idx="55">
                  <c:v>9.0</c:v>
                </c:pt>
                <c:pt idx="56">
                  <c:v>9.2</c:v>
                </c:pt>
                <c:pt idx="57">
                  <c:v>9.399999999999998</c:v>
                </c:pt>
                <c:pt idx="58">
                  <c:v>9.599999999999997</c:v>
                </c:pt>
                <c:pt idx="59">
                  <c:v>9.799999999999997</c:v>
                </c:pt>
                <c:pt idx="60">
                  <c:v>9.999999999999996</c:v>
                </c:pt>
                <c:pt idx="61">
                  <c:v>10.2</c:v>
                </c:pt>
                <c:pt idx="62">
                  <c:v>10.39999999999999</c:v>
                </c:pt>
                <c:pt idx="63">
                  <c:v>10.59999999999999</c:v>
                </c:pt>
                <c:pt idx="64">
                  <c:v>10.79999999999999</c:v>
                </c:pt>
                <c:pt idx="65">
                  <c:v>11</c:v>
                </c:pt>
                <c:pt idx="66">
                  <c:v>11.2</c:v>
                </c:pt>
                <c:pt idx="67">
                  <c:v>11.4</c:v>
                </c:pt>
                <c:pt idx="68">
                  <c:v>11.6</c:v>
                </c:pt>
                <c:pt idx="69">
                  <c:v>11.79999999999999</c:v>
                </c:pt>
                <c:pt idx="70">
                  <c:v>11.99999999999999</c:v>
                </c:pt>
                <c:pt idx="71">
                  <c:v>12.19999999999999</c:v>
                </c:pt>
                <c:pt idx="72">
                  <c:v>12.39999999999999</c:v>
                </c:pt>
                <c:pt idx="73">
                  <c:v>12.59999999999999</c:v>
                </c:pt>
                <c:pt idx="74">
                  <c:v>12.79999999999999</c:v>
                </c:pt>
                <c:pt idx="75">
                  <c:v>12.99999999999999</c:v>
                </c:pt>
                <c:pt idx="76">
                  <c:v>13.19999999999999</c:v>
                </c:pt>
                <c:pt idx="77">
                  <c:v>13.39999999999998</c:v>
                </c:pt>
                <c:pt idx="78">
                  <c:v>13.59999999999998</c:v>
                </c:pt>
                <c:pt idx="79">
                  <c:v>13.79999999999998</c:v>
                </c:pt>
                <c:pt idx="80">
                  <c:v>13.99999999999998</c:v>
                </c:pt>
                <c:pt idx="81">
                  <c:v>14.19999999999998</c:v>
                </c:pt>
                <c:pt idx="82">
                  <c:v>14.39999999999998</c:v>
                </c:pt>
                <c:pt idx="83">
                  <c:v>14.59999999999998</c:v>
                </c:pt>
                <c:pt idx="84">
                  <c:v>14.79999999999998</c:v>
                </c:pt>
                <c:pt idx="85">
                  <c:v>14.99999999999998</c:v>
                </c:pt>
                <c:pt idx="86">
                  <c:v>15.19999999999998</c:v>
                </c:pt>
                <c:pt idx="87">
                  <c:v>15.39999999999998</c:v>
                </c:pt>
                <c:pt idx="88">
                  <c:v>15.59999999999998</c:v>
                </c:pt>
                <c:pt idx="89">
                  <c:v>15.79999999999998</c:v>
                </c:pt>
                <c:pt idx="90">
                  <c:v>15.99999999999998</c:v>
                </c:pt>
                <c:pt idx="91">
                  <c:v>16.19999999999997</c:v>
                </c:pt>
                <c:pt idx="92">
                  <c:v>16.39999999999997</c:v>
                </c:pt>
                <c:pt idx="93">
                  <c:v>16.59999999999997</c:v>
                </c:pt>
                <c:pt idx="94">
                  <c:v>16.79999999999997</c:v>
                </c:pt>
                <c:pt idx="95">
                  <c:v>16.99999999999997</c:v>
                </c:pt>
                <c:pt idx="96">
                  <c:v>17.19999999999997</c:v>
                </c:pt>
              </c:numCache>
            </c:numRef>
          </c:xVal>
          <c:yVal>
            <c:numRef>
              <c:f>'Normal(m,s)'!$L$5:$L$101</c:f>
              <c:numCache>
                <c:formatCode>0.000000</c:formatCode>
                <c:ptCount val="97"/>
                <c:pt idx="0">
                  <c:v>3.16712418331199E-5</c:v>
                </c:pt>
                <c:pt idx="1">
                  <c:v>7.234804392512E-5</c:v>
                </c:pt>
                <c:pt idx="2">
                  <c:v>0.000159108590157534</c:v>
                </c:pt>
                <c:pt idx="3">
                  <c:v>0.00033692926567688</c:v>
                </c:pt>
                <c:pt idx="4">
                  <c:v>0.000687137937915847</c:v>
                </c:pt>
                <c:pt idx="5">
                  <c:v>0.00134989803163009</c:v>
                </c:pt>
                <c:pt idx="6">
                  <c:v>0.00255513033042793</c:v>
                </c:pt>
                <c:pt idx="7">
                  <c:v>0.00466118802371874</c:v>
                </c:pt>
                <c:pt idx="8">
                  <c:v>0.00819753592459611</c:v>
                </c:pt>
                <c:pt idx="9">
                  <c:v>0.0139034475134986</c:v>
                </c:pt>
                <c:pt idx="10">
                  <c:v>0.0227501319481792</c:v>
                </c:pt>
                <c:pt idx="11">
                  <c:v>0.0359303191129257</c:v>
                </c:pt>
                <c:pt idx="12">
                  <c:v>0.054799291699558</c:v>
                </c:pt>
                <c:pt idx="13">
                  <c:v>0.080756659233771</c:v>
                </c:pt>
                <c:pt idx="14">
                  <c:v>0.115069670221708</c:v>
                </c:pt>
                <c:pt idx="15">
                  <c:v>0.158655253931457</c:v>
                </c:pt>
                <c:pt idx="16">
                  <c:v>0.211855398583397</c:v>
                </c:pt>
                <c:pt idx="17">
                  <c:v>0.274253117750073</c:v>
                </c:pt>
                <c:pt idx="18">
                  <c:v>0.344578258389676</c:v>
                </c:pt>
                <c:pt idx="19">
                  <c:v>0.420740290560897</c:v>
                </c:pt>
                <c:pt idx="20">
                  <c:v>0.5</c:v>
                </c:pt>
                <c:pt idx="21">
                  <c:v>0.579259709439103</c:v>
                </c:pt>
                <c:pt idx="22">
                  <c:v>0.655421741610324</c:v>
                </c:pt>
                <c:pt idx="23">
                  <c:v>0.725746882249926</c:v>
                </c:pt>
                <c:pt idx="24">
                  <c:v>0.788144601416603</c:v>
                </c:pt>
                <c:pt idx="25">
                  <c:v>0.841344746068543</c:v>
                </c:pt>
                <c:pt idx="26">
                  <c:v>0.884930329778292</c:v>
                </c:pt>
                <c:pt idx="27">
                  <c:v>0.919243340766229</c:v>
                </c:pt>
                <c:pt idx="28">
                  <c:v>0.945200708300442</c:v>
                </c:pt>
                <c:pt idx="29">
                  <c:v>0.964069680887074</c:v>
                </c:pt>
                <c:pt idx="30">
                  <c:v>0.977249868051821</c:v>
                </c:pt>
                <c:pt idx="31">
                  <c:v>0.986096552486501</c:v>
                </c:pt>
                <c:pt idx="32">
                  <c:v>0.991802464075404</c:v>
                </c:pt>
                <c:pt idx="33">
                  <c:v>0.995338811976281</c:v>
                </c:pt>
                <c:pt idx="34">
                  <c:v>0.997444869669572</c:v>
                </c:pt>
                <c:pt idx="35">
                  <c:v>0.99865010196837</c:v>
                </c:pt>
                <c:pt idx="36">
                  <c:v>0.999312862062084</c:v>
                </c:pt>
                <c:pt idx="37">
                  <c:v>0.999663070734323</c:v>
                </c:pt>
                <c:pt idx="38">
                  <c:v>0.999840891409842</c:v>
                </c:pt>
                <c:pt idx="39">
                  <c:v>0.999927651956075</c:v>
                </c:pt>
                <c:pt idx="40">
                  <c:v>0.999968328758167</c:v>
                </c:pt>
                <c:pt idx="41">
                  <c:v>0.999986654250984</c:v>
                </c:pt>
                <c:pt idx="42">
                  <c:v>0.999994587456092</c:v>
                </c:pt>
                <c:pt idx="43">
                  <c:v>0.999997887545297</c:v>
                </c:pt>
                <c:pt idx="44">
                  <c:v>0.999999206671848</c:v>
                </c:pt>
                <c:pt idx="45">
                  <c:v>0.999999713348428</c:v>
                </c:pt>
                <c:pt idx="46">
                  <c:v>0.999999900355737</c:v>
                </c:pt>
                <c:pt idx="47">
                  <c:v>0.999999966679551</c:v>
                </c:pt>
                <c:pt idx="48">
                  <c:v>0.99999998928241</c:v>
                </c:pt>
                <c:pt idx="49">
                  <c:v>0.999999996684254</c:v>
                </c:pt>
                <c:pt idx="50">
                  <c:v>0.999999999013412</c:v>
                </c:pt>
                <c:pt idx="51">
                  <c:v>0.999999999717684</c:v>
                </c:pt>
                <c:pt idx="52">
                  <c:v>0.999999999922311</c:v>
                </c:pt>
                <c:pt idx="53">
                  <c:v>0.999999999979442</c:v>
                </c:pt>
                <c:pt idx="54">
                  <c:v>0.999999999994769</c:v>
                </c:pt>
                <c:pt idx="55">
                  <c:v>0.99999999999872</c:v>
                </c:pt>
                <c:pt idx="56">
                  <c:v>0.999999999999699</c:v>
                </c:pt>
                <c:pt idx="57">
                  <c:v>0.999999999999932</c:v>
                </c:pt>
                <c:pt idx="58">
                  <c:v>0.999999999999985</c:v>
                </c:pt>
                <c:pt idx="59">
                  <c:v>0.999999999999997</c:v>
                </c:pt>
                <c:pt idx="60">
                  <c:v>0.999999999999999</c:v>
                </c:pt>
                <c:pt idx="61">
                  <c:v>1</c:v>
                </c:pt>
                <c:pt idx="62">
                  <c:v>1.0</c:v>
                </c:pt>
                <c:pt idx="63">
                  <c:v>1.0</c:v>
                </c:pt>
                <c:pt idx="64">
                  <c:v>1.0</c:v>
                </c:pt>
                <c:pt idx="65">
                  <c:v>1.0</c:v>
                </c:pt>
                <c:pt idx="66">
                  <c:v>1.0</c:v>
                </c:pt>
                <c:pt idx="67">
                  <c:v>1.0</c:v>
                </c:pt>
                <c:pt idx="68">
                  <c:v>1.0</c:v>
                </c:pt>
                <c:pt idx="69">
                  <c:v>1.0</c:v>
                </c:pt>
                <c:pt idx="70">
                  <c:v>1.0</c:v>
                </c:pt>
                <c:pt idx="71">
                  <c:v>1.0</c:v>
                </c:pt>
                <c:pt idx="72">
                  <c:v>1.0</c:v>
                </c:pt>
                <c:pt idx="73">
                  <c:v>1.0</c:v>
                </c:pt>
                <c:pt idx="74">
                  <c:v>1.0</c:v>
                </c:pt>
                <c:pt idx="75">
                  <c:v>1.0</c:v>
                </c:pt>
                <c:pt idx="76">
                  <c:v>1.0</c:v>
                </c:pt>
                <c:pt idx="77">
                  <c:v>1.0</c:v>
                </c:pt>
                <c:pt idx="78">
                  <c:v>1.0</c:v>
                </c:pt>
                <c:pt idx="79">
                  <c:v>1.0</c:v>
                </c:pt>
                <c:pt idx="80">
                  <c:v>1.0</c:v>
                </c:pt>
                <c:pt idx="81">
                  <c:v>1.0</c:v>
                </c:pt>
                <c:pt idx="82">
                  <c:v>1.0</c:v>
                </c:pt>
                <c:pt idx="83">
                  <c:v>1.0</c:v>
                </c:pt>
                <c:pt idx="84">
                  <c:v>1.0</c:v>
                </c:pt>
                <c:pt idx="85">
                  <c:v>1.0</c:v>
                </c:pt>
                <c:pt idx="86">
                  <c:v>1.0</c:v>
                </c:pt>
                <c:pt idx="87">
                  <c:v>1.0</c:v>
                </c:pt>
                <c:pt idx="88">
                  <c:v>1.0</c:v>
                </c:pt>
                <c:pt idx="89">
                  <c:v>1.0</c:v>
                </c:pt>
                <c:pt idx="90">
                  <c:v>1.0</c:v>
                </c:pt>
                <c:pt idx="91">
                  <c:v>1.0</c:v>
                </c:pt>
                <c:pt idx="92">
                  <c:v>1.0</c:v>
                </c:pt>
                <c:pt idx="93">
                  <c:v>1.0</c:v>
                </c:pt>
                <c:pt idx="94">
                  <c:v>1.0</c:v>
                </c:pt>
                <c:pt idx="95">
                  <c:v>1.0</c:v>
                </c:pt>
                <c:pt idx="96">
                  <c:v>1.0</c:v>
                </c:pt>
              </c:numCache>
            </c:numRef>
          </c:yVal>
          <c:smooth val="1"/>
        </c:ser>
        <c:ser>
          <c:idx val="4"/>
          <c:order val="2"/>
          <c:tx>
            <c:strRef>
              <c:f>'Normal(m,s)'!$O$4</c:f>
              <c:strCache>
                <c:ptCount val="1"/>
                <c:pt idx="0">
                  <c:v>N(m=3;s=2)-CDF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'Normal(m,s)'!$C$5:$C$101</c:f>
              <c:numCache>
                <c:formatCode>0.000</c:formatCode>
                <c:ptCount val="97"/>
                <c:pt idx="0">
                  <c:v>-2.0</c:v>
                </c:pt>
                <c:pt idx="1">
                  <c:v>-1.8</c:v>
                </c:pt>
                <c:pt idx="2">
                  <c:v>-1.6</c:v>
                </c:pt>
                <c:pt idx="3">
                  <c:v>-1.4</c:v>
                </c:pt>
                <c:pt idx="4">
                  <c:v>-1.2</c:v>
                </c:pt>
                <c:pt idx="5">
                  <c:v>-1.0</c:v>
                </c:pt>
                <c:pt idx="6">
                  <c:v>-0.8</c:v>
                </c:pt>
                <c:pt idx="7">
                  <c:v>-0.6</c:v>
                </c:pt>
                <c:pt idx="8">
                  <c:v>-0.4</c:v>
                </c:pt>
                <c:pt idx="9">
                  <c:v>-0.2</c:v>
                </c:pt>
                <c:pt idx="10">
                  <c:v>-2.77555756156289E-16</c:v>
                </c:pt>
                <c:pt idx="11">
                  <c:v>0.2</c:v>
                </c:pt>
                <c:pt idx="12">
                  <c:v>0.4</c:v>
                </c:pt>
                <c:pt idx="13">
                  <c:v>0.6</c:v>
                </c:pt>
                <c:pt idx="14">
                  <c:v>0.8</c:v>
                </c:pt>
                <c:pt idx="15">
                  <c:v>1</c:v>
                </c:pt>
                <c:pt idx="16">
                  <c:v>1.2</c:v>
                </c:pt>
                <c:pt idx="17">
                  <c:v>1.4</c:v>
                </c:pt>
                <c:pt idx="18">
                  <c:v>1.6</c:v>
                </c:pt>
                <c:pt idx="19">
                  <c:v>1.8</c:v>
                </c:pt>
                <c:pt idx="20">
                  <c:v>2</c:v>
                </c:pt>
                <c:pt idx="21">
                  <c:v>2.2</c:v>
                </c:pt>
                <c:pt idx="22">
                  <c:v>2.4</c:v>
                </c:pt>
                <c:pt idx="23">
                  <c:v>2.6</c:v>
                </c:pt>
                <c:pt idx="24">
                  <c:v>2.8</c:v>
                </c:pt>
                <c:pt idx="25">
                  <c:v>3.0</c:v>
                </c:pt>
                <c:pt idx="26">
                  <c:v>3.200000000000001</c:v>
                </c:pt>
                <c:pt idx="27">
                  <c:v>3.400000000000001</c:v>
                </c:pt>
                <c:pt idx="28">
                  <c:v>3.600000000000001</c:v>
                </c:pt>
                <c:pt idx="29">
                  <c:v>3.800000000000001</c:v>
                </c:pt>
                <c:pt idx="30">
                  <c:v>4.000000000000001</c:v>
                </c:pt>
                <c:pt idx="31">
                  <c:v>4.200000000000001</c:v>
                </c:pt>
                <c:pt idx="32">
                  <c:v>4.400000000000001</c:v>
                </c:pt>
                <c:pt idx="33">
                  <c:v>4.600000000000001</c:v>
                </c:pt>
                <c:pt idx="34">
                  <c:v>4.800000000000002</c:v>
                </c:pt>
                <c:pt idx="35">
                  <c:v>5.000000000000002</c:v>
                </c:pt>
                <c:pt idx="36">
                  <c:v>5.200000000000002</c:v>
                </c:pt>
                <c:pt idx="37">
                  <c:v>5.400000000000002</c:v>
                </c:pt>
                <c:pt idx="38">
                  <c:v>5.600000000000002</c:v>
                </c:pt>
                <c:pt idx="39">
                  <c:v>5.800000000000002</c:v>
                </c:pt>
                <c:pt idx="40">
                  <c:v>6.000000000000003</c:v>
                </c:pt>
                <c:pt idx="41">
                  <c:v>6.200000000000003</c:v>
                </c:pt>
                <c:pt idx="42">
                  <c:v>6.400000000000003</c:v>
                </c:pt>
                <c:pt idx="43">
                  <c:v>6.600000000000003</c:v>
                </c:pt>
                <c:pt idx="44">
                  <c:v>6.800000000000003</c:v>
                </c:pt>
                <c:pt idx="45">
                  <c:v>7.000000000000004</c:v>
                </c:pt>
                <c:pt idx="46">
                  <c:v>7.200000000000004</c:v>
                </c:pt>
                <c:pt idx="47">
                  <c:v>7.400000000000004</c:v>
                </c:pt>
                <c:pt idx="48">
                  <c:v>7.600000000000004</c:v>
                </c:pt>
                <c:pt idx="49">
                  <c:v>7.800000000000004</c:v>
                </c:pt>
                <c:pt idx="50">
                  <c:v>8.000000000000003</c:v>
                </c:pt>
                <c:pt idx="51">
                  <c:v>8.200000000000003</c:v>
                </c:pt>
                <c:pt idx="52">
                  <c:v>8.400000000000002</c:v>
                </c:pt>
                <c:pt idx="53">
                  <c:v>8.600000000000001</c:v>
                </c:pt>
                <c:pt idx="54">
                  <c:v>8.8</c:v>
                </c:pt>
                <c:pt idx="55">
                  <c:v>9.0</c:v>
                </c:pt>
                <c:pt idx="56">
                  <c:v>9.2</c:v>
                </c:pt>
                <c:pt idx="57">
                  <c:v>9.399999999999998</c:v>
                </c:pt>
                <c:pt idx="58">
                  <c:v>9.599999999999997</c:v>
                </c:pt>
                <c:pt idx="59">
                  <c:v>9.799999999999997</c:v>
                </c:pt>
                <c:pt idx="60">
                  <c:v>9.999999999999996</c:v>
                </c:pt>
                <c:pt idx="61">
                  <c:v>10.2</c:v>
                </c:pt>
                <c:pt idx="62">
                  <c:v>10.39999999999999</c:v>
                </c:pt>
                <c:pt idx="63">
                  <c:v>10.59999999999999</c:v>
                </c:pt>
                <c:pt idx="64">
                  <c:v>10.79999999999999</c:v>
                </c:pt>
                <c:pt idx="65">
                  <c:v>11</c:v>
                </c:pt>
                <c:pt idx="66">
                  <c:v>11.2</c:v>
                </c:pt>
                <c:pt idx="67">
                  <c:v>11.4</c:v>
                </c:pt>
                <c:pt idx="68">
                  <c:v>11.6</c:v>
                </c:pt>
                <c:pt idx="69">
                  <c:v>11.79999999999999</c:v>
                </c:pt>
                <c:pt idx="70">
                  <c:v>11.99999999999999</c:v>
                </c:pt>
                <c:pt idx="71">
                  <c:v>12.19999999999999</c:v>
                </c:pt>
                <c:pt idx="72">
                  <c:v>12.39999999999999</c:v>
                </c:pt>
                <c:pt idx="73">
                  <c:v>12.59999999999999</c:v>
                </c:pt>
                <c:pt idx="74">
                  <c:v>12.79999999999999</c:v>
                </c:pt>
                <c:pt idx="75">
                  <c:v>12.99999999999999</c:v>
                </c:pt>
                <c:pt idx="76">
                  <c:v>13.19999999999999</c:v>
                </c:pt>
                <c:pt idx="77">
                  <c:v>13.39999999999998</c:v>
                </c:pt>
                <c:pt idx="78">
                  <c:v>13.59999999999998</c:v>
                </c:pt>
                <c:pt idx="79">
                  <c:v>13.79999999999998</c:v>
                </c:pt>
                <c:pt idx="80">
                  <c:v>13.99999999999998</c:v>
                </c:pt>
                <c:pt idx="81">
                  <c:v>14.19999999999998</c:v>
                </c:pt>
                <c:pt idx="82">
                  <c:v>14.39999999999998</c:v>
                </c:pt>
                <c:pt idx="83">
                  <c:v>14.59999999999998</c:v>
                </c:pt>
                <c:pt idx="84">
                  <c:v>14.79999999999998</c:v>
                </c:pt>
                <c:pt idx="85">
                  <c:v>14.99999999999998</c:v>
                </c:pt>
                <c:pt idx="86">
                  <c:v>15.19999999999998</c:v>
                </c:pt>
                <c:pt idx="87">
                  <c:v>15.39999999999998</c:v>
                </c:pt>
                <c:pt idx="88">
                  <c:v>15.59999999999998</c:v>
                </c:pt>
                <c:pt idx="89">
                  <c:v>15.79999999999998</c:v>
                </c:pt>
                <c:pt idx="90">
                  <c:v>15.99999999999998</c:v>
                </c:pt>
                <c:pt idx="91">
                  <c:v>16.19999999999997</c:v>
                </c:pt>
                <c:pt idx="92">
                  <c:v>16.39999999999997</c:v>
                </c:pt>
                <c:pt idx="93">
                  <c:v>16.59999999999997</c:v>
                </c:pt>
                <c:pt idx="94">
                  <c:v>16.79999999999997</c:v>
                </c:pt>
                <c:pt idx="95">
                  <c:v>16.99999999999997</c:v>
                </c:pt>
                <c:pt idx="96">
                  <c:v>17.19999999999997</c:v>
                </c:pt>
              </c:numCache>
            </c:numRef>
          </c:xVal>
          <c:yVal>
            <c:numRef>
              <c:f>'Normal(m,s)'!$O$5:$O$101</c:f>
              <c:numCache>
                <c:formatCode>0.000000</c:formatCode>
                <c:ptCount val="97"/>
                <c:pt idx="0">
                  <c:v>0.00620966532577613</c:v>
                </c:pt>
                <c:pt idx="1">
                  <c:v>0.00819753592459613</c:v>
                </c:pt>
                <c:pt idx="2">
                  <c:v>0.0107241100216758</c:v>
                </c:pt>
                <c:pt idx="3">
                  <c:v>0.0139034475134986</c:v>
                </c:pt>
                <c:pt idx="4">
                  <c:v>0.0178644205628165</c:v>
                </c:pt>
                <c:pt idx="5">
                  <c:v>0.0227501319481792</c:v>
                </c:pt>
                <c:pt idx="6">
                  <c:v>0.0287165598160018</c:v>
                </c:pt>
                <c:pt idx="7">
                  <c:v>0.0359303191129257</c:v>
                </c:pt>
                <c:pt idx="8">
                  <c:v>0.044565462758543</c:v>
                </c:pt>
                <c:pt idx="9">
                  <c:v>0.054799291699558</c:v>
                </c:pt>
                <c:pt idx="10">
                  <c:v>0.066807201268858</c:v>
                </c:pt>
                <c:pt idx="11">
                  <c:v>0.080756659233771</c:v>
                </c:pt>
                <c:pt idx="12">
                  <c:v>0.0968004845856103</c:v>
                </c:pt>
                <c:pt idx="13">
                  <c:v>0.115069670221708</c:v>
                </c:pt>
                <c:pt idx="14">
                  <c:v>0.135666060946383</c:v>
                </c:pt>
                <c:pt idx="15">
                  <c:v>0.158655253931457</c:v>
                </c:pt>
                <c:pt idx="16">
                  <c:v>0.184060125346759</c:v>
                </c:pt>
                <c:pt idx="17">
                  <c:v>0.211855398583397</c:v>
                </c:pt>
                <c:pt idx="18">
                  <c:v>0.241963652223073</c:v>
                </c:pt>
                <c:pt idx="19">
                  <c:v>0.274253117750073</c:v>
                </c:pt>
                <c:pt idx="20">
                  <c:v>0.308537538725987</c:v>
                </c:pt>
                <c:pt idx="21">
                  <c:v>0.344578258389676</c:v>
                </c:pt>
                <c:pt idx="22">
                  <c:v>0.382088577811047</c:v>
                </c:pt>
                <c:pt idx="23">
                  <c:v>0.420740290560897</c:v>
                </c:pt>
                <c:pt idx="24">
                  <c:v>0.460172162722971</c:v>
                </c:pt>
                <c:pt idx="25">
                  <c:v>0.5</c:v>
                </c:pt>
                <c:pt idx="26">
                  <c:v>0.539827837277029</c:v>
                </c:pt>
                <c:pt idx="27">
                  <c:v>0.579259709439103</c:v>
                </c:pt>
                <c:pt idx="28">
                  <c:v>0.617911422188953</c:v>
                </c:pt>
                <c:pt idx="29">
                  <c:v>0.655421741610324</c:v>
                </c:pt>
                <c:pt idx="30">
                  <c:v>0.691462461274013</c:v>
                </c:pt>
                <c:pt idx="31">
                  <c:v>0.725746882249927</c:v>
                </c:pt>
                <c:pt idx="32">
                  <c:v>0.758036347776927</c:v>
                </c:pt>
                <c:pt idx="33">
                  <c:v>0.788144601416604</c:v>
                </c:pt>
                <c:pt idx="34">
                  <c:v>0.815939874653241</c:v>
                </c:pt>
                <c:pt idx="35">
                  <c:v>0.841344746068543</c:v>
                </c:pt>
                <c:pt idx="36">
                  <c:v>0.864333939053617</c:v>
                </c:pt>
                <c:pt idx="37">
                  <c:v>0.884930329778292</c:v>
                </c:pt>
                <c:pt idx="38">
                  <c:v>0.90319951541439</c:v>
                </c:pt>
                <c:pt idx="39">
                  <c:v>0.919243340766229</c:v>
                </c:pt>
                <c:pt idx="40">
                  <c:v>0.933192798731142</c:v>
                </c:pt>
                <c:pt idx="41">
                  <c:v>0.945200708300442</c:v>
                </c:pt>
                <c:pt idx="42">
                  <c:v>0.955434537241457</c:v>
                </c:pt>
                <c:pt idx="43">
                  <c:v>0.964069680887074</c:v>
                </c:pt>
                <c:pt idx="44">
                  <c:v>0.971283440183998</c:v>
                </c:pt>
                <c:pt idx="45">
                  <c:v>0.977249868051821</c:v>
                </c:pt>
                <c:pt idx="46">
                  <c:v>0.982135579437184</c:v>
                </c:pt>
                <c:pt idx="47">
                  <c:v>0.986096552486501</c:v>
                </c:pt>
                <c:pt idx="48">
                  <c:v>0.989275889978324</c:v>
                </c:pt>
                <c:pt idx="49">
                  <c:v>0.991802464075404</c:v>
                </c:pt>
                <c:pt idx="50">
                  <c:v>0.993790334674224</c:v>
                </c:pt>
                <c:pt idx="51">
                  <c:v>0.995338811976281</c:v>
                </c:pt>
                <c:pt idx="52">
                  <c:v>0.996533026196959</c:v>
                </c:pt>
                <c:pt idx="53">
                  <c:v>0.997444869669572</c:v>
                </c:pt>
                <c:pt idx="54">
                  <c:v>0.998134186699616</c:v>
                </c:pt>
                <c:pt idx="55">
                  <c:v>0.99865010196837</c:v>
                </c:pt>
                <c:pt idx="56">
                  <c:v>0.999032396786782</c:v>
                </c:pt>
                <c:pt idx="57">
                  <c:v>0.999312862062084</c:v>
                </c:pt>
                <c:pt idx="58">
                  <c:v>0.999516575857616</c:v>
                </c:pt>
                <c:pt idx="59">
                  <c:v>0.999663070734323</c:v>
                </c:pt>
                <c:pt idx="60">
                  <c:v>0.999767370920964</c:v>
                </c:pt>
                <c:pt idx="61">
                  <c:v>0.999840891409842</c:v>
                </c:pt>
                <c:pt idx="62">
                  <c:v>0.999892200266523</c:v>
                </c:pt>
                <c:pt idx="63">
                  <c:v>0.999927651956075</c:v>
                </c:pt>
                <c:pt idx="64">
                  <c:v>0.999951903655982</c:v>
                </c:pt>
                <c:pt idx="65">
                  <c:v>0.999968328758167</c:v>
                </c:pt>
                <c:pt idx="66">
                  <c:v>0.999979342493087</c:v>
                </c:pt>
                <c:pt idx="67">
                  <c:v>0.999986654250984</c:v>
                </c:pt>
                <c:pt idx="68">
                  <c:v>0.999991460094529</c:v>
                </c:pt>
                <c:pt idx="69">
                  <c:v>0.999994587456092</c:v>
                </c:pt>
                <c:pt idx="70">
                  <c:v>0.999996602326875</c:v>
                </c:pt>
                <c:pt idx="71">
                  <c:v>0.999997887545297</c:v>
                </c:pt>
                <c:pt idx="72">
                  <c:v>0.999998699192546</c:v>
                </c:pt>
                <c:pt idx="73">
                  <c:v>0.999999206671848</c:v>
                </c:pt>
                <c:pt idx="74">
                  <c:v>0.999999520816723</c:v>
                </c:pt>
                <c:pt idx="75">
                  <c:v>0.999999713348428</c:v>
                </c:pt>
                <c:pt idx="76">
                  <c:v>0.999999830173259</c:v>
                </c:pt>
                <c:pt idx="77">
                  <c:v>0.999999900355737</c:v>
                </c:pt>
                <c:pt idx="78">
                  <c:v>0.99999994209866</c:v>
                </c:pt>
                <c:pt idx="79">
                  <c:v>0.999999966679551</c:v>
                </c:pt>
                <c:pt idx="80">
                  <c:v>0.999999981010437</c:v>
                </c:pt>
                <c:pt idx="81">
                  <c:v>0.99999998928241</c:v>
                </c:pt>
                <c:pt idx="82">
                  <c:v>0.999999994009629</c:v>
                </c:pt>
                <c:pt idx="83">
                  <c:v>0.999999996684254</c:v>
                </c:pt>
                <c:pt idx="84">
                  <c:v>0.999999998182492</c:v>
                </c:pt>
                <c:pt idx="85">
                  <c:v>0.999999999013412</c:v>
                </c:pt>
                <c:pt idx="86">
                  <c:v>0.999999999469658</c:v>
                </c:pt>
                <c:pt idx="87">
                  <c:v>0.999999999717684</c:v>
                </c:pt>
                <c:pt idx="88">
                  <c:v>0.999999999851177</c:v>
                </c:pt>
                <c:pt idx="89">
                  <c:v>0.999999999922311</c:v>
                </c:pt>
                <c:pt idx="90">
                  <c:v>0.99999999995984</c:v>
                </c:pt>
                <c:pt idx="91">
                  <c:v>0.999999999979442</c:v>
                </c:pt>
                <c:pt idx="92">
                  <c:v>0.999999999989579</c:v>
                </c:pt>
                <c:pt idx="93">
                  <c:v>0.999999999994769</c:v>
                </c:pt>
                <c:pt idx="94">
                  <c:v>0.9999999999974</c:v>
                </c:pt>
                <c:pt idx="95">
                  <c:v>0.99999999999872</c:v>
                </c:pt>
                <c:pt idx="96">
                  <c:v>0.999999999999376</c:v>
                </c:pt>
              </c:numCache>
            </c:numRef>
          </c:yVal>
          <c:smooth val="1"/>
        </c:ser>
        <c:ser>
          <c:idx val="5"/>
          <c:order val="3"/>
          <c:tx>
            <c:strRef>
              <c:f>'Normal(m,s)'!$R$4</c:f>
              <c:strCache>
                <c:ptCount val="1"/>
                <c:pt idx="0">
                  <c:v>N(m=4;s=0.05)-CDF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'Normal(m,s)'!$C$5:$C$101</c:f>
              <c:numCache>
                <c:formatCode>0.000</c:formatCode>
                <c:ptCount val="97"/>
                <c:pt idx="0">
                  <c:v>-2.0</c:v>
                </c:pt>
                <c:pt idx="1">
                  <c:v>-1.8</c:v>
                </c:pt>
                <c:pt idx="2">
                  <c:v>-1.6</c:v>
                </c:pt>
                <c:pt idx="3">
                  <c:v>-1.4</c:v>
                </c:pt>
                <c:pt idx="4">
                  <c:v>-1.2</c:v>
                </c:pt>
                <c:pt idx="5">
                  <c:v>-1.0</c:v>
                </c:pt>
                <c:pt idx="6">
                  <c:v>-0.8</c:v>
                </c:pt>
                <c:pt idx="7">
                  <c:v>-0.6</c:v>
                </c:pt>
                <c:pt idx="8">
                  <c:v>-0.4</c:v>
                </c:pt>
                <c:pt idx="9">
                  <c:v>-0.2</c:v>
                </c:pt>
                <c:pt idx="10">
                  <c:v>-2.77555756156289E-16</c:v>
                </c:pt>
                <c:pt idx="11">
                  <c:v>0.2</c:v>
                </c:pt>
                <c:pt idx="12">
                  <c:v>0.4</c:v>
                </c:pt>
                <c:pt idx="13">
                  <c:v>0.6</c:v>
                </c:pt>
                <c:pt idx="14">
                  <c:v>0.8</c:v>
                </c:pt>
                <c:pt idx="15">
                  <c:v>1</c:v>
                </c:pt>
                <c:pt idx="16">
                  <c:v>1.2</c:v>
                </c:pt>
                <c:pt idx="17">
                  <c:v>1.4</c:v>
                </c:pt>
                <c:pt idx="18">
                  <c:v>1.6</c:v>
                </c:pt>
                <c:pt idx="19">
                  <c:v>1.8</c:v>
                </c:pt>
                <c:pt idx="20">
                  <c:v>2</c:v>
                </c:pt>
                <c:pt idx="21">
                  <c:v>2.2</c:v>
                </c:pt>
                <c:pt idx="22">
                  <c:v>2.4</c:v>
                </c:pt>
                <c:pt idx="23">
                  <c:v>2.6</c:v>
                </c:pt>
                <c:pt idx="24">
                  <c:v>2.8</c:v>
                </c:pt>
                <c:pt idx="25">
                  <c:v>3.0</c:v>
                </c:pt>
                <c:pt idx="26">
                  <c:v>3.200000000000001</c:v>
                </c:pt>
                <c:pt idx="27">
                  <c:v>3.400000000000001</c:v>
                </c:pt>
                <c:pt idx="28">
                  <c:v>3.600000000000001</c:v>
                </c:pt>
                <c:pt idx="29">
                  <c:v>3.800000000000001</c:v>
                </c:pt>
                <c:pt idx="30">
                  <c:v>4.000000000000001</c:v>
                </c:pt>
                <c:pt idx="31">
                  <c:v>4.200000000000001</c:v>
                </c:pt>
                <c:pt idx="32">
                  <c:v>4.400000000000001</c:v>
                </c:pt>
                <c:pt idx="33">
                  <c:v>4.600000000000001</c:v>
                </c:pt>
                <c:pt idx="34">
                  <c:v>4.800000000000002</c:v>
                </c:pt>
                <c:pt idx="35">
                  <c:v>5.000000000000002</c:v>
                </c:pt>
                <c:pt idx="36">
                  <c:v>5.200000000000002</c:v>
                </c:pt>
                <c:pt idx="37">
                  <c:v>5.400000000000002</c:v>
                </c:pt>
                <c:pt idx="38">
                  <c:v>5.600000000000002</c:v>
                </c:pt>
                <c:pt idx="39">
                  <c:v>5.800000000000002</c:v>
                </c:pt>
                <c:pt idx="40">
                  <c:v>6.000000000000003</c:v>
                </c:pt>
                <c:pt idx="41">
                  <c:v>6.200000000000003</c:v>
                </c:pt>
                <c:pt idx="42">
                  <c:v>6.400000000000003</c:v>
                </c:pt>
                <c:pt idx="43">
                  <c:v>6.600000000000003</c:v>
                </c:pt>
                <c:pt idx="44">
                  <c:v>6.800000000000003</c:v>
                </c:pt>
                <c:pt idx="45">
                  <c:v>7.000000000000004</c:v>
                </c:pt>
                <c:pt idx="46">
                  <c:v>7.200000000000004</c:v>
                </c:pt>
                <c:pt idx="47">
                  <c:v>7.400000000000004</c:v>
                </c:pt>
                <c:pt idx="48">
                  <c:v>7.600000000000004</c:v>
                </c:pt>
                <c:pt idx="49">
                  <c:v>7.800000000000004</c:v>
                </c:pt>
                <c:pt idx="50">
                  <c:v>8.000000000000003</c:v>
                </c:pt>
                <c:pt idx="51">
                  <c:v>8.200000000000003</c:v>
                </c:pt>
                <c:pt idx="52">
                  <c:v>8.400000000000002</c:v>
                </c:pt>
                <c:pt idx="53">
                  <c:v>8.600000000000001</c:v>
                </c:pt>
                <c:pt idx="54">
                  <c:v>8.8</c:v>
                </c:pt>
                <c:pt idx="55">
                  <c:v>9.0</c:v>
                </c:pt>
                <c:pt idx="56">
                  <c:v>9.2</c:v>
                </c:pt>
                <c:pt idx="57">
                  <c:v>9.399999999999998</c:v>
                </c:pt>
                <c:pt idx="58">
                  <c:v>9.599999999999997</c:v>
                </c:pt>
                <c:pt idx="59">
                  <c:v>9.799999999999997</c:v>
                </c:pt>
                <c:pt idx="60">
                  <c:v>9.999999999999996</c:v>
                </c:pt>
                <c:pt idx="61">
                  <c:v>10.2</c:v>
                </c:pt>
                <c:pt idx="62">
                  <c:v>10.39999999999999</c:v>
                </c:pt>
                <c:pt idx="63">
                  <c:v>10.59999999999999</c:v>
                </c:pt>
                <c:pt idx="64">
                  <c:v>10.79999999999999</c:v>
                </c:pt>
                <c:pt idx="65">
                  <c:v>11</c:v>
                </c:pt>
                <c:pt idx="66">
                  <c:v>11.2</c:v>
                </c:pt>
                <c:pt idx="67">
                  <c:v>11.4</c:v>
                </c:pt>
                <c:pt idx="68">
                  <c:v>11.6</c:v>
                </c:pt>
                <c:pt idx="69">
                  <c:v>11.79999999999999</c:v>
                </c:pt>
                <c:pt idx="70">
                  <c:v>11.99999999999999</c:v>
                </c:pt>
                <c:pt idx="71">
                  <c:v>12.19999999999999</c:v>
                </c:pt>
                <c:pt idx="72">
                  <c:v>12.39999999999999</c:v>
                </c:pt>
                <c:pt idx="73">
                  <c:v>12.59999999999999</c:v>
                </c:pt>
                <c:pt idx="74">
                  <c:v>12.79999999999999</c:v>
                </c:pt>
                <c:pt idx="75">
                  <c:v>12.99999999999999</c:v>
                </c:pt>
                <c:pt idx="76">
                  <c:v>13.19999999999999</c:v>
                </c:pt>
                <c:pt idx="77">
                  <c:v>13.39999999999998</c:v>
                </c:pt>
                <c:pt idx="78">
                  <c:v>13.59999999999998</c:v>
                </c:pt>
                <c:pt idx="79">
                  <c:v>13.79999999999998</c:v>
                </c:pt>
                <c:pt idx="80">
                  <c:v>13.99999999999998</c:v>
                </c:pt>
                <c:pt idx="81">
                  <c:v>14.19999999999998</c:v>
                </c:pt>
                <c:pt idx="82">
                  <c:v>14.39999999999998</c:v>
                </c:pt>
                <c:pt idx="83">
                  <c:v>14.59999999999998</c:v>
                </c:pt>
                <c:pt idx="84">
                  <c:v>14.79999999999998</c:v>
                </c:pt>
                <c:pt idx="85">
                  <c:v>14.99999999999998</c:v>
                </c:pt>
                <c:pt idx="86">
                  <c:v>15.19999999999998</c:v>
                </c:pt>
                <c:pt idx="87">
                  <c:v>15.39999999999998</c:v>
                </c:pt>
                <c:pt idx="88">
                  <c:v>15.59999999999998</c:v>
                </c:pt>
                <c:pt idx="89">
                  <c:v>15.79999999999998</c:v>
                </c:pt>
                <c:pt idx="90">
                  <c:v>15.99999999999998</c:v>
                </c:pt>
                <c:pt idx="91">
                  <c:v>16.19999999999997</c:v>
                </c:pt>
                <c:pt idx="92">
                  <c:v>16.39999999999997</c:v>
                </c:pt>
                <c:pt idx="93">
                  <c:v>16.59999999999997</c:v>
                </c:pt>
                <c:pt idx="94">
                  <c:v>16.79999999999997</c:v>
                </c:pt>
                <c:pt idx="95">
                  <c:v>16.99999999999997</c:v>
                </c:pt>
                <c:pt idx="96">
                  <c:v>17.19999999999997</c:v>
                </c:pt>
              </c:numCache>
            </c:numRef>
          </c:xVal>
          <c:yVal>
            <c:numRef>
              <c:f>'Normal(m,s)'!$R$5:$R$101</c:f>
              <c:numCache>
                <c:formatCode>0.000000</c:formatCode>
                <c:ptCount val="97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4.1826240657968E-284</c:v>
                </c:pt>
                <c:pt idx="22">
                  <c:v>5.45208060351177E-225</c:v>
                </c:pt>
                <c:pt idx="23">
                  <c:v>8.12386946965942E-173</c:v>
                </c:pt>
                <c:pt idx="24">
                  <c:v>1.39039211854994E-127</c:v>
                </c:pt>
                <c:pt idx="25">
                  <c:v>2.75362411860678E-89</c:v>
                </c:pt>
                <c:pt idx="26">
                  <c:v>6.38875440053954E-58</c:v>
                </c:pt>
                <c:pt idx="27">
                  <c:v>1.77648211207803E-33</c:v>
                </c:pt>
                <c:pt idx="28">
                  <c:v>6.22096057427277E-16</c:v>
                </c:pt>
                <c:pt idx="29">
                  <c:v>3.1671241833123E-5</c:v>
                </c:pt>
                <c:pt idx="30">
                  <c:v>0.500000000000007</c:v>
                </c:pt>
                <c:pt idx="31">
                  <c:v>0.999968328758167</c:v>
                </c:pt>
                <c:pt idx="32">
                  <c:v>0.999999999999999</c:v>
                </c:pt>
                <c:pt idx="33">
                  <c:v>1.0</c:v>
                </c:pt>
                <c:pt idx="34">
                  <c:v>1.0</c:v>
                </c:pt>
                <c:pt idx="35">
                  <c:v>1.0</c:v>
                </c:pt>
                <c:pt idx="36">
                  <c:v>1.0</c:v>
                </c:pt>
                <c:pt idx="37">
                  <c:v>1.0</c:v>
                </c:pt>
                <c:pt idx="38">
                  <c:v>1.0</c:v>
                </c:pt>
                <c:pt idx="39">
                  <c:v>1.0</c:v>
                </c:pt>
                <c:pt idx="40">
                  <c:v>1.0</c:v>
                </c:pt>
                <c:pt idx="41">
                  <c:v>1.0</c:v>
                </c:pt>
                <c:pt idx="42">
                  <c:v>1.0</c:v>
                </c:pt>
                <c:pt idx="43">
                  <c:v>1.0</c:v>
                </c:pt>
                <c:pt idx="44">
                  <c:v>1.0</c:v>
                </c:pt>
                <c:pt idx="45">
                  <c:v>1.0</c:v>
                </c:pt>
                <c:pt idx="46">
                  <c:v>1.0</c:v>
                </c:pt>
                <c:pt idx="47">
                  <c:v>1.0</c:v>
                </c:pt>
                <c:pt idx="48">
                  <c:v>1.0</c:v>
                </c:pt>
                <c:pt idx="49">
                  <c:v>1.0</c:v>
                </c:pt>
                <c:pt idx="50">
                  <c:v>1.0</c:v>
                </c:pt>
                <c:pt idx="51">
                  <c:v>1.0</c:v>
                </c:pt>
                <c:pt idx="52">
                  <c:v>1.0</c:v>
                </c:pt>
                <c:pt idx="53">
                  <c:v>1.0</c:v>
                </c:pt>
                <c:pt idx="54">
                  <c:v>1.0</c:v>
                </c:pt>
                <c:pt idx="55">
                  <c:v>1.0</c:v>
                </c:pt>
                <c:pt idx="56">
                  <c:v>1.0</c:v>
                </c:pt>
                <c:pt idx="57">
                  <c:v>1.0</c:v>
                </c:pt>
                <c:pt idx="58">
                  <c:v>1.0</c:v>
                </c:pt>
                <c:pt idx="59">
                  <c:v>1.0</c:v>
                </c:pt>
                <c:pt idx="60">
                  <c:v>1.0</c:v>
                </c:pt>
                <c:pt idx="61">
                  <c:v>1.0</c:v>
                </c:pt>
                <c:pt idx="62">
                  <c:v>1.0</c:v>
                </c:pt>
                <c:pt idx="63">
                  <c:v>1.0</c:v>
                </c:pt>
                <c:pt idx="64">
                  <c:v>1.0</c:v>
                </c:pt>
                <c:pt idx="65">
                  <c:v>1.0</c:v>
                </c:pt>
                <c:pt idx="66">
                  <c:v>1.0</c:v>
                </c:pt>
                <c:pt idx="67">
                  <c:v>1.0</c:v>
                </c:pt>
                <c:pt idx="68">
                  <c:v>1.0</c:v>
                </c:pt>
                <c:pt idx="69">
                  <c:v>1.0</c:v>
                </c:pt>
                <c:pt idx="70">
                  <c:v>1.0</c:v>
                </c:pt>
                <c:pt idx="71">
                  <c:v>1.0</c:v>
                </c:pt>
                <c:pt idx="72">
                  <c:v>1.0</c:v>
                </c:pt>
                <c:pt idx="73">
                  <c:v>1.0</c:v>
                </c:pt>
                <c:pt idx="74">
                  <c:v>1.0</c:v>
                </c:pt>
                <c:pt idx="75">
                  <c:v>1.0</c:v>
                </c:pt>
                <c:pt idx="76">
                  <c:v>1.0</c:v>
                </c:pt>
                <c:pt idx="77">
                  <c:v>1.0</c:v>
                </c:pt>
                <c:pt idx="78">
                  <c:v>1.0</c:v>
                </c:pt>
                <c:pt idx="79">
                  <c:v>1.0</c:v>
                </c:pt>
                <c:pt idx="80">
                  <c:v>1.0</c:v>
                </c:pt>
                <c:pt idx="81">
                  <c:v>1.0</c:v>
                </c:pt>
                <c:pt idx="82">
                  <c:v>1.0</c:v>
                </c:pt>
                <c:pt idx="83">
                  <c:v>1.0</c:v>
                </c:pt>
                <c:pt idx="84">
                  <c:v>1.0</c:v>
                </c:pt>
                <c:pt idx="85">
                  <c:v>1.0</c:v>
                </c:pt>
                <c:pt idx="86">
                  <c:v>1.0</c:v>
                </c:pt>
                <c:pt idx="87">
                  <c:v>1.0</c:v>
                </c:pt>
                <c:pt idx="88">
                  <c:v>1.0</c:v>
                </c:pt>
                <c:pt idx="89">
                  <c:v>1.0</c:v>
                </c:pt>
                <c:pt idx="90">
                  <c:v>1.0</c:v>
                </c:pt>
                <c:pt idx="91">
                  <c:v>1.0</c:v>
                </c:pt>
                <c:pt idx="92">
                  <c:v>1.0</c:v>
                </c:pt>
                <c:pt idx="93">
                  <c:v>1.0</c:v>
                </c:pt>
                <c:pt idx="94">
                  <c:v>1.0</c:v>
                </c:pt>
                <c:pt idx="95">
                  <c:v>1.0</c:v>
                </c:pt>
                <c:pt idx="96">
                  <c:v>1.0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'Normal(m,s)'!$F$4</c:f>
              <c:strCache>
                <c:ptCount val="1"/>
                <c:pt idx="0">
                  <c:v>N(m=0;s=1)-CDF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'Normal(m,s)'!$C$5:$C$101</c:f>
              <c:numCache>
                <c:formatCode>0.000</c:formatCode>
                <c:ptCount val="97"/>
                <c:pt idx="0">
                  <c:v>-2.0</c:v>
                </c:pt>
                <c:pt idx="1">
                  <c:v>-1.8</c:v>
                </c:pt>
                <c:pt idx="2">
                  <c:v>-1.6</c:v>
                </c:pt>
                <c:pt idx="3">
                  <c:v>-1.4</c:v>
                </c:pt>
                <c:pt idx="4">
                  <c:v>-1.2</c:v>
                </c:pt>
                <c:pt idx="5">
                  <c:v>-1.0</c:v>
                </c:pt>
                <c:pt idx="6">
                  <c:v>-0.8</c:v>
                </c:pt>
                <c:pt idx="7">
                  <c:v>-0.6</c:v>
                </c:pt>
                <c:pt idx="8">
                  <c:v>-0.4</c:v>
                </c:pt>
                <c:pt idx="9">
                  <c:v>-0.2</c:v>
                </c:pt>
                <c:pt idx="10">
                  <c:v>-2.77555756156289E-16</c:v>
                </c:pt>
                <c:pt idx="11">
                  <c:v>0.2</c:v>
                </c:pt>
                <c:pt idx="12">
                  <c:v>0.4</c:v>
                </c:pt>
                <c:pt idx="13">
                  <c:v>0.6</c:v>
                </c:pt>
                <c:pt idx="14">
                  <c:v>0.8</c:v>
                </c:pt>
                <c:pt idx="15">
                  <c:v>1</c:v>
                </c:pt>
                <c:pt idx="16">
                  <c:v>1.2</c:v>
                </c:pt>
                <c:pt idx="17">
                  <c:v>1.4</c:v>
                </c:pt>
                <c:pt idx="18">
                  <c:v>1.6</c:v>
                </c:pt>
                <c:pt idx="19">
                  <c:v>1.8</c:v>
                </c:pt>
                <c:pt idx="20">
                  <c:v>2</c:v>
                </c:pt>
                <c:pt idx="21">
                  <c:v>2.2</c:v>
                </c:pt>
                <c:pt idx="22">
                  <c:v>2.4</c:v>
                </c:pt>
                <c:pt idx="23">
                  <c:v>2.6</c:v>
                </c:pt>
                <c:pt idx="24">
                  <c:v>2.8</c:v>
                </c:pt>
                <c:pt idx="25">
                  <c:v>3.0</c:v>
                </c:pt>
                <c:pt idx="26">
                  <c:v>3.200000000000001</c:v>
                </c:pt>
                <c:pt idx="27">
                  <c:v>3.400000000000001</c:v>
                </c:pt>
                <c:pt idx="28">
                  <c:v>3.600000000000001</c:v>
                </c:pt>
                <c:pt idx="29">
                  <c:v>3.800000000000001</c:v>
                </c:pt>
                <c:pt idx="30">
                  <c:v>4.000000000000001</c:v>
                </c:pt>
                <c:pt idx="31">
                  <c:v>4.200000000000001</c:v>
                </c:pt>
                <c:pt idx="32">
                  <c:v>4.400000000000001</c:v>
                </c:pt>
                <c:pt idx="33">
                  <c:v>4.600000000000001</c:v>
                </c:pt>
                <c:pt idx="34">
                  <c:v>4.800000000000002</c:v>
                </c:pt>
                <c:pt idx="35">
                  <c:v>5.000000000000002</c:v>
                </c:pt>
                <c:pt idx="36">
                  <c:v>5.200000000000002</c:v>
                </c:pt>
                <c:pt idx="37">
                  <c:v>5.400000000000002</c:v>
                </c:pt>
                <c:pt idx="38">
                  <c:v>5.600000000000002</c:v>
                </c:pt>
                <c:pt idx="39">
                  <c:v>5.800000000000002</c:v>
                </c:pt>
                <c:pt idx="40">
                  <c:v>6.000000000000003</c:v>
                </c:pt>
                <c:pt idx="41">
                  <c:v>6.200000000000003</c:v>
                </c:pt>
                <c:pt idx="42">
                  <c:v>6.400000000000003</c:v>
                </c:pt>
                <c:pt idx="43">
                  <c:v>6.600000000000003</c:v>
                </c:pt>
                <c:pt idx="44">
                  <c:v>6.800000000000003</c:v>
                </c:pt>
                <c:pt idx="45">
                  <c:v>7.000000000000004</c:v>
                </c:pt>
                <c:pt idx="46">
                  <c:v>7.200000000000004</c:v>
                </c:pt>
                <c:pt idx="47">
                  <c:v>7.400000000000004</c:v>
                </c:pt>
                <c:pt idx="48">
                  <c:v>7.600000000000004</c:v>
                </c:pt>
                <c:pt idx="49">
                  <c:v>7.800000000000004</c:v>
                </c:pt>
                <c:pt idx="50">
                  <c:v>8.000000000000003</c:v>
                </c:pt>
                <c:pt idx="51">
                  <c:v>8.200000000000003</c:v>
                </c:pt>
                <c:pt idx="52">
                  <c:v>8.400000000000002</c:v>
                </c:pt>
                <c:pt idx="53">
                  <c:v>8.600000000000001</c:v>
                </c:pt>
                <c:pt idx="54">
                  <c:v>8.8</c:v>
                </c:pt>
                <c:pt idx="55">
                  <c:v>9.0</c:v>
                </c:pt>
                <c:pt idx="56">
                  <c:v>9.2</c:v>
                </c:pt>
                <c:pt idx="57">
                  <c:v>9.399999999999998</c:v>
                </c:pt>
                <c:pt idx="58">
                  <c:v>9.599999999999997</c:v>
                </c:pt>
                <c:pt idx="59">
                  <c:v>9.799999999999997</c:v>
                </c:pt>
                <c:pt idx="60">
                  <c:v>9.999999999999996</c:v>
                </c:pt>
                <c:pt idx="61">
                  <c:v>10.2</c:v>
                </c:pt>
                <c:pt idx="62">
                  <c:v>10.39999999999999</c:v>
                </c:pt>
                <c:pt idx="63">
                  <c:v>10.59999999999999</c:v>
                </c:pt>
                <c:pt idx="64">
                  <c:v>10.79999999999999</c:v>
                </c:pt>
                <c:pt idx="65">
                  <c:v>11</c:v>
                </c:pt>
                <c:pt idx="66">
                  <c:v>11.2</c:v>
                </c:pt>
                <c:pt idx="67">
                  <c:v>11.4</c:v>
                </c:pt>
                <c:pt idx="68">
                  <c:v>11.6</c:v>
                </c:pt>
                <c:pt idx="69">
                  <c:v>11.79999999999999</c:v>
                </c:pt>
                <c:pt idx="70">
                  <c:v>11.99999999999999</c:v>
                </c:pt>
                <c:pt idx="71">
                  <c:v>12.19999999999999</c:v>
                </c:pt>
                <c:pt idx="72">
                  <c:v>12.39999999999999</c:v>
                </c:pt>
                <c:pt idx="73">
                  <c:v>12.59999999999999</c:v>
                </c:pt>
                <c:pt idx="74">
                  <c:v>12.79999999999999</c:v>
                </c:pt>
                <c:pt idx="75">
                  <c:v>12.99999999999999</c:v>
                </c:pt>
                <c:pt idx="76">
                  <c:v>13.19999999999999</c:v>
                </c:pt>
                <c:pt idx="77">
                  <c:v>13.39999999999998</c:v>
                </c:pt>
                <c:pt idx="78">
                  <c:v>13.59999999999998</c:v>
                </c:pt>
                <c:pt idx="79">
                  <c:v>13.79999999999998</c:v>
                </c:pt>
                <c:pt idx="80">
                  <c:v>13.99999999999998</c:v>
                </c:pt>
                <c:pt idx="81">
                  <c:v>14.19999999999998</c:v>
                </c:pt>
                <c:pt idx="82">
                  <c:v>14.39999999999998</c:v>
                </c:pt>
                <c:pt idx="83">
                  <c:v>14.59999999999998</c:v>
                </c:pt>
                <c:pt idx="84">
                  <c:v>14.79999999999998</c:v>
                </c:pt>
                <c:pt idx="85">
                  <c:v>14.99999999999998</c:v>
                </c:pt>
                <c:pt idx="86">
                  <c:v>15.19999999999998</c:v>
                </c:pt>
                <c:pt idx="87">
                  <c:v>15.39999999999998</c:v>
                </c:pt>
                <c:pt idx="88">
                  <c:v>15.59999999999998</c:v>
                </c:pt>
                <c:pt idx="89">
                  <c:v>15.79999999999998</c:v>
                </c:pt>
                <c:pt idx="90">
                  <c:v>15.99999999999998</c:v>
                </c:pt>
                <c:pt idx="91">
                  <c:v>16.19999999999997</c:v>
                </c:pt>
                <c:pt idx="92">
                  <c:v>16.39999999999997</c:v>
                </c:pt>
                <c:pt idx="93">
                  <c:v>16.59999999999997</c:v>
                </c:pt>
                <c:pt idx="94">
                  <c:v>16.79999999999997</c:v>
                </c:pt>
                <c:pt idx="95">
                  <c:v>16.99999999999997</c:v>
                </c:pt>
                <c:pt idx="96">
                  <c:v>17.19999999999997</c:v>
                </c:pt>
              </c:numCache>
            </c:numRef>
          </c:xVal>
          <c:yVal>
            <c:numRef>
              <c:f>'Normal(m,s)'!$F$5:$F$101</c:f>
              <c:numCache>
                <c:formatCode>0.000000</c:formatCode>
                <c:ptCount val="97"/>
                <c:pt idx="0">
                  <c:v>0.0227501319481792</c:v>
                </c:pt>
                <c:pt idx="1">
                  <c:v>0.0359303191129258</c:v>
                </c:pt>
                <c:pt idx="2">
                  <c:v>0.054799291699558</c:v>
                </c:pt>
                <c:pt idx="3">
                  <c:v>0.080756659233771</c:v>
                </c:pt>
                <c:pt idx="4">
                  <c:v>0.115069670221708</c:v>
                </c:pt>
                <c:pt idx="5">
                  <c:v>0.158655253931457</c:v>
                </c:pt>
                <c:pt idx="6">
                  <c:v>0.211855398583397</c:v>
                </c:pt>
                <c:pt idx="7">
                  <c:v>0.274253117750073</c:v>
                </c:pt>
                <c:pt idx="8">
                  <c:v>0.344578258389676</c:v>
                </c:pt>
                <c:pt idx="9">
                  <c:v>0.420740290560897</c:v>
                </c:pt>
                <c:pt idx="10">
                  <c:v>0.5</c:v>
                </c:pt>
                <c:pt idx="11">
                  <c:v>0.579259709439103</c:v>
                </c:pt>
                <c:pt idx="12">
                  <c:v>0.655421741610324</c:v>
                </c:pt>
                <c:pt idx="13">
                  <c:v>0.725746882249926</c:v>
                </c:pt>
                <c:pt idx="14">
                  <c:v>0.788144601416603</c:v>
                </c:pt>
                <c:pt idx="15">
                  <c:v>0.841344746068543</c:v>
                </c:pt>
                <c:pt idx="16">
                  <c:v>0.884930329778292</c:v>
                </c:pt>
                <c:pt idx="17">
                  <c:v>0.919243340766229</c:v>
                </c:pt>
                <c:pt idx="18">
                  <c:v>0.945200708300442</c:v>
                </c:pt>
                <c:pt idx="19">
                  <c:v>0.964069680887074</c:v>
                </c:pt>
                <c:pt idx="20">
                  <c:v>0.977249868051821</c:v>
                </c:pt>
                <c:pt idx="21">
                  <c:v>0.986096552486501</c:v>
                </c:pt>
                <c:pt idx="22">
                  <c:v>0.991802464075404</c:v>
                </c:pt>
                <c:pt idx="23">
                  <c:v>0.995338811976281</c:v>
                </c:pt>
                <c:pt idx="24">
                  <c:v>0.997444869669572</c:v>
                </c:pt>
                <c:pt idx="25">
                  <c:v>0.99865010196837</c:v>
                </c:pt>
                <c:pt idx="26">
                  <c:v>0.999312862062084</c:v>
                </c:pt>
                <c:pt idx="27">
                  <c:v>0.999663070734323</c:v>
                </c:pt>
                <c:pt idx="28">
                  <c:v>0.999840891409842</c:v>
                </c:pt>
                <c:pt idx="29">
                  <c:v>0.999927651956075</c:v>
                </c:pt>
                <c:pt idx="30">
                  <c:v>0.999968328758167</c:v>
                </c:pt>
                <c:pt idx="31">
                  <c:v>0.999986654250984</c:v>
                </c:pt>
                <c:pt idx="32">
                  <c:v>0.999994587456092</c:v>
                </c:pt>
                <c:pt idx="33">
                  <c:v>0.999997887545297</c:v>
                </c:pt>
                <c:pt idx="34">
                  <c:v>0.999999206671848</c:v>
                </c:pt>
                <c:pt idx="35">
                  <c:v>0.999999713348428</c:v>
                </c:pt>
                <c:pt idx="36">
                  <c:v>0.999999900355737</c:v>
                </c:pt>
                <c:pt idx="37">
                  <c:v>0.999999966679551</c:v>
                </c:pt>
                <c:pt idx="38">
                  <c:v>0.99999998928241</c:v>
                </c:pt>
                <c:pt idx="39">
                  <c:v>0.999999996684254</c:v>
                </c:pt>
                <c:pt idx="40">
                  <c:v>0.999999999013412</c:v>
                </c:pt>
                <c:pt idx="41">
                  <c:v>0.999999999717684</c:v>
                </c:pt>
                <c:pt idx="42">
                  <c:v>0.999999999922311</c:v>
                </c:pt>
                <c:pt idx="43">
                  <c:v>0.999999999979442</c:v>
                </c:pt>
                <c:pt idx="44">
                  <c:v>0.999999999994769</c:v>
                </c:pt>
                <c:pt idx="45">
                  <c:v>0.99999999999872</c:v>
                </c:pt>
                <c:pt idx="46">
                  <c:v>0.999999999999699</c:v>
                </c:pt>
                <c:pt idx="47">
                  <c:v>0.999999999999932</c:v>
                </c:pt>
                <c:pt idx="48">
                  <c:v>0.999999999999985</c:v>
                </c:pt>
                <c:pt idx="49">
                  <c:v>0.999999999999997</c:v>
                </c:pt>
                <c:pt idx="50">
                  <c:v>0.999999999999999</c:v>
                </c:pt>
                <c:pt idx="51">
                  <c:v>1</c:v>
                </c:pt>
                <c:pt idx="52">
                  <c:v>1.0</c:v>
                </c:pt>
                <c:pt idx="53">
                  <c:v>1.0</c:v>
                </c:pt>
                <c:pt idx="54">
                  <c:v>1.0</c:v>
                </c:pt>
                <c:pt idx="55">
                  <c:v>1.0</c:v>
                </c:pt>
                <c:pt idx="56">
                  <c:v>1.0</c:v>
                </c:pt>
                <c:pt idx="57">
                  <c:v>1.0</c:v>
                </c:pt>
                <c:pt idx="58">
                  <c:v>1.0</c:v>
                </c:pt>
                <c:pt idx="59">
                  <c:v>1.0</c:v>
                </c:pt>
                <c:pt idx="60">
                  <c:v>1.0</c:v>
                </c:pt>
                <c:pt idx="61">
                  <c:v>1.0</c:v>
                </c:pt>
                <c:pt idx="62">
                  <c:v>1.0</c:v>
                </c:pt>
                <c:pt idx="63">
                  <c:v>1.0</c:v>
                </c:pt>
                <c:pt idx="64">
                  <c:v>1.0</c:v>
                </c:pt>
                <c:pt idx="65">
                  <c:v>1.0</c:v>
                </c:pt>
                <c:pt idx="66">
                  <c:v>1.0</c:v>
                </c:pt>
                <c:pt idx="67">
                  <c:v>1.0</c:v>
                </c:pt>
                <c:pt idx="68">
                  <c:v>1.0</c:v>
                </c:pt>
                <c:pt idx="69">
                  <c:v>1.0</c:v>
                </c:pt>
                <c:pt idx="70">
                  <c:v>1.0</c:v>
                </c:pt>
                <c:pt idx="71">
                  <c:v>1.0</c:v>
                </c:pt>
                <c:pt idx="72">
                  <c:v>1.0</c:v>
                </c:pt>
                <c:pt idx="73">
                  <c:v>1.0</c:v>
                </c:pt>
                <c:pt idx="74">
                  <c:v>1.0</c:v>
                </c:pt>
                <c:pt idx="75">
                  <c:v>1.0</c:v>
                </c:pt>
                <c:pt idx="76">
                  <c:v>1.0</c:v>
                </c:pt>
                <c:pt idx="77">
                  <c:v>1.0</c:v>
                </c:pt>
                <c:pt idx="78">
                  <c:v>1.0</c:v>
                </c:pt>
                <c:pt idx="79">
                  <c:v>1.0</c:v>
                </c:pt>
                <c:pt idx="80">
                  <c:v>1.0</c:v>
                </c:pt>
                <c:pt idx="81">
                  <c:v>1.0</c:v>
                </c:pt>
                <c:pt idx="82">
                  <c:v>1.0</c:v>
                </c:pt>
                <c:pt idx="83">
                  <c:v>1.0</c:v>
                </c:pt>
                <c:pt idx="84">
                  <c:v>1.0</c:v>
                </c:pt>
                <c:pt idx="85">
                  <c:v>1.0</c:v>
                </c:pt>
                <c:pt idx="86">
                  <c:v>1.0</c:v>
                </c:pt>
                <c:pt idx="87">
                  <c:v>1.0</c:v>
                </c:pt>
                <c:pt idx="88">
                  <c:v>1.0</c:v>
                </c:pt>
                <c:pt idx="89">
                  <c:v>1.0</c:v>
                </c:pt>
                <c:pt idx="90">
                  <c:v>1.0</c:v>
                </c:pt>
                <c:pt idx="91">
                  <c:v>1.0</c:v>
                </c:pt>
                <c:pt idx="92">
                  <c:v>1.0</c:v>
                </c:pt>
                <c:pt idx="93">
                  <c:v>1.0</c:v>
                </c:pt>
                <c:pt idx="94">
                  <c:v>1.0</c:v>
                </c:pt>
                <c:pt idx="95">
                  <c:v>1.0</c:v>
                </c:pt>
                <c:pt idx="96">
                  <c:v>1.0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1737464"/>
        <c:axId val="2121734328"/>
      </c:scatterChart>
      <c:valAx>
        <c:axId val="2121737464"/>
        <c:scaling>
          <c:orientation val="minMax"/>
        </c:scaling>
        <c:delete val="0"/>
        <c:axPos val="b"/>
        <c:majorGridlines/>
        <c:numFmt formatCode="0.000" sourceLinked="1"/>
        <c:majorTickMark val="out"/>
        <c:minorTickMark val="none"/>
        <c:tickLblPos val="nextTo"/>
        <c:crossAx val="2121734328"/>
        <c:crosses val="autoZero"/>
        <c:crossBetween val="midCat"/>
      </c:valAx>
      <c:valAx>
        <c:axId val="2121734328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21217374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114300</xdr:colOff>
      <xdr:row>1</xdr:row>
      <xdr:rowOff>38100</xdr:rowOff>
    </xdr:from>
    <xdr:to>
      <xdr:col>28</xdr:col>
      <xdr:colOff>0</xdr:colOff>
      <xdr:row>22</xdr:row>
      <xdr:rowOff>139700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114300</xdr:colOff>
      <xdr:row>23</xdr:row>
      <xdr:rowOff>139700</xdr:rowOff>
    </xdr:from>
    <xdr:to>
      <xdr:col>28</xdr:col>
      <xdr:colOff>12700</xdr:colOff>
      <xdr:row>46</xdr:row>
      <xdr:rowOff>127000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R101"/>
  <sheetViews>
    <sheetView tabSelected="1" workbookViewId="0">
      <selection activeCell="Q4" sqref="Q4"/>
    </sheetView>
  </sheetViews>
  <sheetFormatPr baseColWidth="10" defaultRowHeight="15" x14ac:dyDescent="0"/>
  <cols>
    <col min="1" max="1" width="2.1640625" customWidth="1"/>
    <col min="4" max="4" width="2.5" customWidth="1"/>
    <col min="7" max="7" width="2.5" customWidth="1"/>
    <col min="10" max="10" width="2.1640625" customWidth="1"/>
    <col min="13" max="13" width="2.1640625" customWidth="1"/>
    <col min="16" max="16" width="2.1640625" customWidth="1"/>
  </cols>
  <sheetData>
    <row r="2" spans="2:18" ht="16">
      <c r="C2" t="s">
        <v>0</v>
      </c>
      <c r="E2" s="3">
        <v>0</v>
      </c>
      <c r="H2" s="3">
        <v>1</v>
      </c>
      <c r="K2" s="3">
        <v>2</v>
      </c>
      <c r="N2" s="3">
        <v>3</v>
      </c>
      <c r="Q2" s="3">
        <v>4</v>
      </c>
    </row>
    <row r="3" spans="2:18" ht="16">
      <c r="C3" t="s">
        <v>1</v>
      </c>
      <c r="E3" s="3">
        <v>1</v>
      </c>
      <c r="H3" s="3">
        <v>0.5</v>
      </c>
      <c r="K3" s="3">
        <v>1</v>
      </c>
      <c r="N3" s="3">
        <v>2</v>
      </c>
      <c r="Q3" s="3">
        <v>0.05</v>
      </c>
    </row>
    <row r="4" spans="2:18">
      <c r="B4" s="1"/>
      <c r="C4" s="1"/>
      <c r="E4" s="1" t="str">
        <f>"N(m="&amp;E2&amp;";s="&amp;E3&amp;")-PDF"</f>
        <v>N(m=0;s=1)-PDF</v>
      </c>
      <c r="F4" s="1" t="str">
        <f>"N(m="&amp;E2&amp;";s="&amp;E3&amp;")-CDF"</f>
        <v>N(m=0;s=1)-CDF</v>
      </c>
      <c r="H4" s="1" t="str">
        <f>"N(m="&amp;H2&amp;";s="&amp;H3&amp;")-PDF"</f>
        <v>N(m=1;s=0.5)-PDF</v>
      </c>
      <c r="I4" s="1" t="str">
        <f>"N(m="&amp;H2&amp;";s="&amp;H3&amp;")-CDF"</f>
        <v>N(m=1;s=0.5)-CDF</v>
      </c>
      <c r="K4" s="1" t="str">
        <f>"N(m="&amp;K2&amp;";s="&amp;K3&amp;")-PDF"</f>
        <v>N(m=2;s=1)-PDF</v>
      </c>
      <c r="L4" s="1" t="str">
        <f>"N(m="&amp;K2&amp;";s="&amp;K3&amp;")-CDF"</f>
        <v>N(m=2;s=1)-CDF</v>
      </c>
      <c r="N4" s="1" t="str">
        <f>"N(m="&amp;N2&amp;";s="&amp;N3&amp;")-PDF"</f>
        <v>N(m=3;s=2)-PDF</v>
      </c>
      <c r="O4" s="1" t="str">
        <f>"N(m="&amp;N2&amp;";s="&amp;N3&amp;")-CDF"</f>
        <v>N(m=3;s=2)-CDF</v>
      </c>
      <c r="Q4" s="1" t="str">
        <f>"N(m="&amp;Q2&amp;";s="&amp;Q3&amp;")-PDF"</f>
        <v>N(m=4;s=0.05)-PDF</v>
      </c>
      <c r="R4" s="1" t="str">
        <f>"N(m="&amp;Q2&amp;";s="&amp;Q3&amp;")-CDF"</f>
        <v>N(m=4;s=0.05)-CDF</v>
      </c>
    </row>
    <row r="5" spans="2:18">
      <c r="B5">
        <v>1</v>
      </c>
      <c r="C5" s="4">
        <v>-2</v>
      </c>
      <c r="E5" s="6">
        <f>_xlfn.NORM.DIST($C5,E$2,E$3,0)</f>
        <v>5.3990966513188063E-2</v>
      </c>
      <c r="F5" s="6">
        <f>_xlfn.NORM.DIST($C5,E$2,E$3,1)</f>
        <v>2.2750131948179191E-2</v>
      </c>
      <c r="G5" s="6"/>
      <c r="H5" s="6">
        <f>_xlfn.NORM.DIST($C5,H$2,H$3,0)</f>
        <v>1.2151765699646572E-8</v>
      </c>
      <c r="I5" s="6">
        <f>_xlfn.NORM.DIST($C5,H$2,H$3,1)</f>
        <v>9.8658764503769437E-10</v>
      </c>
      <c r="J5" s="6"/>
      <c r="K5" s="6">
        <f>_xlfn.NORM.DIST($C5,K$2,K$3,0)</f>
        <v>1.3383022576488537E-4</v>
      </c>
      <c r="L5" s="6">
        <f>_xlfn.NORM.DIST($C5,K$2,K$3,1)</f>
        <v>3.1671241833119857E-5</v>
      </c>
      <c r="M5" s="6"/>
      <c r="N5" s="6">
        <f>_xlfn.NORM.DIST($C5,N$2,N$3,0)</f>
        <v>8.7641502467842702E-3</v>
      </c>
      <c r="O5" s="6">
        <f>_xlfn.NORM.DIST($C5,N$2,N$3,1)</f>
        <v>6.2096653257761331E-3</v>
      </c>
      <c r="P5" s="6"/>
      <c r="Q5" s="6">
        <f>_xlfn.NORM.DIST($C5,Q$2,Q$3,0)</f>
        <v>0</v>
      </c>
      <c r="R5" s="6">
        <f>_xlfn.NORM.DIST($C5,Q$2,Q$3,1)</f>
        <v>0</v>
      </c>
    </row>
    <row r="6" spans="2:18">
      <c r="B6" s="2">
        <f t="shared" ref="B6:B11" si="0">B5+1</f>
        <v>2</v>
      </c>
      <c r="C6" s="5">
        <f t="shared" ref="C6:C11" si="1">C5+0.2</f>
        <v>-1.8</v>
      </c>
      <c r="D6" s="2"/>
      <c r="E6" s="7">
        <f>_xlfn.NORM.DIST($C6,E$2,E$3,0)</f>
        <v>7.8950158300894149E-2</v>
      </c>
      <c r="F6" s="7">
        <f>_xlfn.NORM.DIST($C6,E$2,E$3,1)</f>
        <v>3.5930319112925789E-2</v>
      </c>
      <c r="G6" s="7"/>
      <c r="H6" s="7">
        <f>_xlfn.NORM.DIST($C6,H$2,H$3,0)</f>
        <v>1.2365241000331715E-7</v>
      </c>
      <c r="I6" s="7">
        <f>_xlfn.NORM.DIST($C6,H$2,H$3,1)</f>
        <v>1.0717590258310892E-8</v>
      </c>
      <c r="J6" s="7"/>
      <c r="K6" s="7">
        <f>_xlfn.NORM.DIST($C6,K$2,K$3,0)</f>
        <v>2.9194692579146027E-4</v>
      </c>
      <c r="L6" s="7">
        <f>_xlfn.NORM.DIST($C6,K$2,K$3,1)</f>
        <v>7.234804392511999E-5</v>
      </c>
      <c r="M6" s="7"/>
      <c r="N6" s="7">
        <f>_xlfn.NORM.DIST($C6,N$2,N$3,0)</f>
        <v>1.119726514742145E-2</v>
      </c>
      <c r="O6" s="7">
        <f>_xlfn.NORM.DIST($C6,N$2,N$3,1)</f>
        <v>8.1975359245961311E-3</v>
      </c>
      <c r="P6" s="7"/>
      <c r="Q6" s="7">
        <f>_xlfn.NORM.DIST($C6,Q$2,Q$3,0)</f>
        <v>0</v>
      </c>
      <c r="R6" s="7">
        <f>_xlfn.NORM.DIST($C6,Q$2,Q$3,1)</f>
        <v>0</v>
      </c>
    </row>
    <row r="7" spans="2:18">
      <c r="B7">
        <f t="shared" si="0"/>
        <v>3</v>
      </c>
      <c r="C7" s="4">
        <f t="shared" si="1"/>
        <v>-1.6</v>
      </c>
      <c r="E7" s="6">
        <f>_xlfn.NORM.DIST($C7,E$2,E$3,0)</f>
        <v>0.11092083467945554</v>
      </c>
      <c r="F7" s="6">
        <f>_xlfn.NORM.DIST($C7,E$2,E$3,1)</f>
        <v>5.4799291699557967E-2</v>
      </c>
      <c r="G7" s="6"/>
      <c r="H7" s="6">
        <f>_xlfn.NORM.DIST($C7,H$2,H$3,0)</f>
        <v>1.0722070689395229E-6</v>
      </c>
      <c r="I7" s="6">
        <f>_xlfn.NORM.DIST($C7,H$2,H$3,1)</f>
        <v>9.9644263169334635E-8</v>
      </c>
      <c r="J7" s="6"/>
      <c r="K7" s="6">
        <f>_xlfn.NORM.DIST($C7,K$2,K$3,0)</f>
        <v>6.119019301137719E-4</v>
      </c>
      <c r="L7" s="6">
        <f>_xlfn.NORM.DIST($C7,K$2,K$3,1)</f>
        <v>1.5910859015753364E-4</v>
      </c>
      <c r="M7" s="6"/>
      <c r="N7" s="6">
        <f>_xlfn.NORM.DIST($C7,N$2,N$3,0)</f>
        <v>1.4163518870800593E-2</v>
      </c>
      <c r="O7" s="6">
        <f>_xlfn.NORM.DIST($C7,N$2,N$3,1)</f>
        <v>1.0724110021675811E-2</v>
      </c>
      <c r="P7" s="6"/>
      <c r="Q7" s="6">
        <f>_xlfn.NORM.DIST($C7,Q$2,Q$3,0)</f>
        <v>0</v>
      </c>
      <c r="R7" s="6">
        <f>_xlfn.NORM.DIST($C7,Q$2,Q$3,1)</f>
        <v>0</v>
      </c>
    </row>
    <row r="8" spans="2:18">
      <c r="B8">
        <f t="shared" si="0"/>
        <v>4</v>
      </c>
      <c r="C8" s="4">
        <f t="shared" si="1"/>
        <v>-1.4000000000000001</v>
      </c>
      <c r="E8" s="6">
        <f>_xlfn.NORM.DIST($C8,E$2,E$3,0)</f>
        <v>0.14972746563574482</v>
      </c>
      <c r="F8" s="6">
        <f>_xlfn.NORM.DIST($C8,E$2,E$3,1)</f>
        <v>8.0756659233771025E-2</v>
      </c>
      <c r="G8" s="6"/>
      <c r="H8" s="6">
        <f>_xlfn.NORM.DIST($C8,H$2,H$3,0)</f>
        <v>7.9225981820641218E-6</v>
      </c>
      <c r="I8" s="6">
        <f>_xlfn.NORM.DIST($C8,H$2,H$3,1)</f>
        <v>7.933281519755893E-7</v>
      </c>
      <c r="J8" s="6"/>
      <c r="K8" s="6">
        <f>_xlfn.NORM.DIST($C8,K$2,K$3,0)</f>
        <v>1.2322191684730175E-3</v>
      </c>
      <c r="L8" s="6">
        <f>_xlfn.NORM.DIST($C8,K$2,K$3,1)</f>
        <v>3.3692926567687983E-4</v>
      </c>
      <c r="M8" s="6"/>
      <c r="N8" s="6">
        <f>_xlfn.NORM.DIST($C8,N$2,N$3,0)</f>
        <v>1.7737296423115712E-2</v>
      </c>
      <c r="O8" s="6">
        <f>_xlfn.NORM.DIST($C8,N$2,N$3,1)</f>
        <v>1.3903447513498597E-2</v>
      </c>
      <c r="P8" s="6"/>
      <c r="Q8" s="6">
        <f>_xlfn.NORM.DIST($C8,Q$2,Q$3,0)</f>
        <v>0</v>
      </c>
      <c r="R8" s="6">
        <f>_xlfn.NORM.DIST($C8,Q$2,Q$3,1)</f>
        <v>0</v>
      </c>
    </row>
    <row r="9" spans="2:18">
      <c r="B9">
        <f t="shared" si="0"/>
        <v>5</v>
      </c>
      <c r="C9" s="4">
        <f t="shared" si="1"/>
        <v>-1.2000000000000002</v>
      </c>
      <c r="E9" s="6">
        <f>_xlfn.NORM.DIST($C9,E$2,E$3,0)</f>
        <v>0.19418605498321292</v>
      </c>
      <c r="F9" s="6">
        <f>_xlfn.NORM.DIST($C9,E$2,E$3,1)</f>
        <v>0.11506967022170821</v>
      </c>
      <c r="G9" s="6"/>
      <c r="H9" s="6">
        <f>_xlfn.NORM.DIST($C9,H$2,H$3,0)</f>
        <v>4.9884942580107071E-5</v>
      </c>
      <c r="I9" s="6">
        <f>_xlfn.NORM.DIST($C9,H$2,H$3,1)</f>
        <v>5.4125439077038416E-6</v>
      </c>
      <c r="J9" s="6"/>
      <c r="K9" s="6">
        <f>_xlfn.NORM.DIST($C9,K$2,K$3,0)</f>
        <v>2.3840882014648404E-3</v>
      </c>
      <c r="L9" s="6">
        <f>_xlfn.NORM.DIST($C9,K$2,K$3,1)</f>
        <v>6.8713793791584719E-4</v>
      </c>
      <c r="M9" s="6"/>
      <c r="N9" s="6">
        <f>_xlfn.NORM.DIST($C9,N$2,N$3,0)</f>
        <v>2.1991797990213596E-2</v>
      </c>
      <c r="O9" s="6">
        <f>_xlfn.NORM.DIST($C9,N$2,N$3,1)</f>
        <v>1.7864420562816546E-2</v>
      </c>
      <c r="P9" s="6"/>
      <c r="Q9" s="6">
        <f>_xlfn.NORM.DIST($C9,Q$2,Q$3,0)</f>
        <v>0</v>
      </c>
      <c r="R9" s="6">
        <f>_xlfn.NORM.DIST($C9,Q$2,Q$3,1)</f>
        <v>0</v>
      </c>
    </row>
    <row r="10" spans="2:18">
      <c r="B10">
        <f t="shared" si="0"/>
        <v>6</v>
      </c>
      <c r="C10" s="4">
        <f t="shared" si="1"/>
        <v>-1.0000000000000002</v>
      </c>
      <c r="E10" s="6">
        <f>_xlfn.NORM.DIST($C10,E$2,E$3,0)</f>
        <v>0.24197072451914331</v>
      </c>
      <c r="F10" s="6">
        <f>_xlfn.NORM.DIST($C10,E$2,E$3,1)</f>
        <v>0.15865525393145699</v>
      </c>
      <c r="G10" s="6"/>
      <c r="H10" s="6">
        <f>_xlfn.NORM.DIST($C10,H$2,H$3,0)</f>
        <v>2.6766045152977074E-4</v>
      </c>
      <c r="I10" s="6">
        <f>_xlfn.NORM.DIST($C10,H$2,H$3,1)</f>
        <v>3.1671241833119857E-5</v>
      </c>
      <c r="J10" s="6"/>
      <c r="K10" s="6">
        <f>_xlfn.NORM.DIST($C10,K$2,K$3,0)</f>
        <v>4.4318484119380075E-3</v>
      </c>
      <c r="L10" s="6">
        <f>_xlfn.NORM.DIST($C10,K$2,K$3,1)</f>
        <v>1.3498980316300933E-3</v>
      </c>
      <c r="M10" s="6"/>
      <c r="N10" s="6">
        <f>_xlfn.NORM.DIST($C10,N$2,N$3,0)</f>
        <v>2.6995483256594031E-2</v>
      </c>
      <c r="O10" s="6">
        <f>_xlfn.NORM.DIST($C10,N$2,N$3,1)</f>
        <v>2.2750131948179191E-2</v>
      </c>
      <c r="P10" s="6"/>
      <c r="Q10" s="6">
        <f>_xlfn.NORM.DIST($C10,Q$2,Q$3,0)</f>
        <v>0</v>
      </c>
      <c r="R10" s="6">
        <f>_xlfn.NORM.DIST($C10,Q$2,Q$3,1)</f>
        <v>0</v>
      </c>
    </row>
    <row r="11" spans="2:18">
      <c r="B11" s="2">
        <f t="shared" si="0"/>
        <v>7</v>
      </c>
      <c r="C11" s="5">
        <f t="shared" si="1"/>
        <v>-0.80000000000000027</v>
      </c>
      <c r="D11" s="2"/>
      <c r="E11" s="7">
        <f>_xlfn.NORM.DIST($C11,E$2,E$3,0)</f>
        <v>0.28969155276148267</v>
      </c>
      <c r="F11" s="7">
        <f>_xlfn.NORM.DIST($C11,E$2,E$3,1)</f>
        <v>0.21185539858339658</v>
      </c>
      <c r="G11" s="7"/>
      <c r="H11" s="7">
        <f>_xlfn.NORM.DIST($C11,H$2,H$3,0)</f>
        <v>1.2238038602275418E-3</v>
      </c>
      <c r="I11" s="7">
        <f>_xlfn.NORM.DIST($C11,H$2,H$3,1)</f>
        <v>1.5910859015753318E-4</v>
      </c>
      <c r="J11" s="7"/>
      <c r="K11" s="7">
        <f>_xlfn.NORM.DIST($C11,K$2,K$3,0)</f>
        <v>7.9154515829799564E-3</v>
      </c>
      <c r="L11" s="7">
        <f>_xlfn.NORM.DIST($C11,K$2,K$3,1)</f>
        <v>2.5551303304279286E-3</v>
      </c>
      <c r="M11" s="7"/>
      <c r="N11" s="7">
        <f>_xlfn.NORM.DIST($C11,N$2,N$3,0)</f>
        <v>3.2807907387338291E-2</v>
      </c>
      <c r="O11" s="7">
        <f>_xlfn.NORM.DIST($C11,N$2,N$3,1)</f>
        <v>2.8716559816001779E-2</v>
      </c>
      <c r="P11" s="7"/>
      <c r="Q11" s="7">
        <f>_xlfn.NORM.DIST($C11,Q$2,Q$3,0)</f>
        <v>0</v>
      </c>
      <c r="R11" s="7">
        <f>_xlfn.NORM.DIST($C11,Q$2,Q$3,1)</f>
        <v>0</v>
      </c>
    </row>
    <row r="12" spans="2:18">
      <c r="B12">
        <f t="shared" ref="B12:B51" si="2">B11+1</f>
        <v>8</v>
      </c>
      <c r="C12" s="4">
        <f t="shared" ref="C12:C17" si="3">C11+0.2</f>
        <v>-0.60000000000000031</v>
      </c>
      <c r="E12" s="6">
        <f>_xlfn.NORM.DIST($C12,E$2,E$3,0)</f>
        <v>0.33322460289179962</v>
      </c>
      <c r="F12" s="6">
        <f>_xlfn.NORM.DIST($C12,E$2,E$3,1)</f>
        <v>0.27425311775007344</v>
      </c>
      <c r="G12" s="6"/>
      <c r="H12" s="6">
        <f>_xlfn.NORM.DIST($C12,H$2,H$3,0)</f>
        <v>4.7681764029296764E-3</v>
      </c>
      <c r="I12" s="6">
        <f>_xlfn.NORM.DIST($C12,H$2,H$3,1)</f>
        <v>6.8713793791584719E-4</v>
      </c>
      <c r="J12" s="6"/>
      <c r="K12" s="6">
        <f>_xlfn.NORM.DIST($C12,K$2,K$3,0)</f>
        <v>1.3582969233685602E-2</v>
      </c>
      <c r="L12" s="6">
        <f>_xlfn.NORM.DIST($C12,K$2,K$3,1)</f>
        <v>4.661188023718738E-3</v>
      </c>
      <c r="M12" s="6"/>
      <c r="N12" s="6">
        <f>_xlfn.NORM.DIST($C12,N$2,N$3,0)</f>
        <v>3.9475079150447061E-2</v>
      </c>
      <c r="O12" s="6">
        <f>_xlfn.NORM.DIST($C12,N$2,N$3,1)</f>
        <v>3.5930319112925754E-2</v>
      </c>
      <c r="P12" s="6"/>
      <c r="Q12" s="6">
        <f>_xlfn.NORM.DIST($C12,Q$2,Q$3,0)</f>
        <v>0</v>
      </c>
      <c r="R12" s="6">
        <f>_xlfn.NORM.DIST($C12,Q$2,Q$3,1)</f>
        <v>0</v>
      </c>
    </row>
    <row r="13" spans="2:18">
      <c r="B13">
        <f t="shared" si="2"/>
        <v>9</v>
      </c>
      <c r="C13" s="4">
        <f t="shared" si="3"/>
        <v>-0.4000000000000003</v>
      </c>
      <c r="E13" s="6">
        <f>_xlfn.NORM.DIST($C13,E$2,E$3,0)</f>
        <v>0.36827014030332328</v>
      </c>
      <c r="F13" s="6">
        <f>_xlfn.NORM.DIST($C13,E$2,E$3,1)</f>
        <v>0.34457825838967571</v>
      </c>
      <c r="G13" s="6"/>
      <c r="H13" s="6">
        <f>_xlfn.NORM.DIST($C13,H$2,H$3,0)</f>
        <v>1.5830903165959892E-2</v>
      </c>
      <c r="I13" s="6">
        <f>_xlfn.NORM.DIST($C13,H$2,H$3,1)</f>
        <v>2.555130330427926E-3</v>
      </c>
      <c r="J13" s="6"/>
      <c r="K13" s="6">
        <f>_xlfn.NORM.DIST($C13,K$2,K$3,0)</f>
        <v>2.2394530294842882E-2</v>
      </c>
      <c r="L13" s="6">
        <f>_xlfn.NORM.DIST($C13,K$2,K$3,1)</f>
        <v>8.1975359245961138E-3</v>
      </c>
      <c r="M13" s="6"/>
      <c r="N13" s="6">
        <f>_xlfn.NORM.DIST($C13,N$2,N$3,0)</f>
        <v>4.7024538688443453E-2</v>
      </c>
      <c r="O13" s="6">
        <f>_xlfn.NORM.DIST($C13,N$2,N$3,1)</f>
        <v>4.4565462758542999E-2</v>
      </c>
      <c r="P13" s="6"/>
      <c r="Q13" s="6">
        <f>_xlfn.NORM.DIST($C13,Q$2,Q$3,0)</f>
        <v>0</v>
      </c>
      <c r="R13" s="6">
        <f>_xlfn.NORM.DIST($C13,Q$2,Q$3,1)</f>
        <v>0</v>
      </c>
    </row>
    <row r="14" spans="2:18">
      <c r="B14">
        <f t="shared" si="2"/>
        <v>10</v>
      </c>
      <c r="C14" s="4">
        <f t="shared" si="3"/>
        <v>-0.20000000000000029</v>
      </c>
      <c r="E14" s="6">
        <f>_xlfn.NORM.DIST($C14,E$2,E$3,0)</f>
        <v>0.39104269397545588</v>
      </c>
      <c r="F14" s="6">
        <f>_xlfn.NORM.DIST($C14,E$2,E$3,1)</f>
        <v>0.42074029056089685</v>
      </c>
      <c r="G14" s="6"/>
      <c r="H14" s="6">
        <f>_xlfn.NORM.DIST($C14,H$2,H$3,0)</f>
        <v>4.4789060589685764E-2</v>
      </c>
      <c r="I14" s="6">
        <f>_xlfn.NORM.DIST($C14,H$2,H$3,1)</f>
        <v>8.1975359245961138E-3</v>
      </c>
      <c r="J14" s="6"/>
      <c r="K14" s="6">
        <f>_xlfn.NORM.DIST($C14,K$2,K$3,0)</f>
        <v>3.5474592846231424E-2</v>
      </c>
      <c r="L14" s="6">
        <f>_xlfn.NORM.DIST($C14,K$2,K$3,1)</f>
        <v>1.3903447513498597E-2</v>
      </c>
      <c r="M14" s="6"/>
      <c r="N14" s="6">
        <f>_xlfn.NORM.DIST($C14,N$2,N$3,0)</f>
        <v>5.5460417339727772E-2</v>
      </c>
      <c r="O14" s="6">
        <f>_xlfn.NORM.DIST($C14,N$2,N$3,1)</f>
        <v>5.4799291699557967E-2</v>
      </c>
      <c r="P14" s="6"/>
      <c r="Q14" s="6">
        <f>_xlfn.NORM.DIST($C14,Q$2,Q$3,0)</f>
        <v>0</v>
      </c>
      <c r="R14" s="6">
        <f>_xlfn.NORM.DIST($C14,Q$2,Q$3,1)</f>
        <v>0</v>
      </c>
    </row>
    <row r="15" spans="2:18">
      <c r="B15">
        <f t="shared" si="2"/>
        <v>11</v>
      </c>
      <c r="C15" s="4">
        <f t="shared" si="3"/>
        <v>-2.7755575615628914E-16</v>
      </c>
      <c r="E15" s="8">
        <f>_xlfn.NORM.DIST($C15,E$2,E$3,0)</f>
        <v>0.3989422804014327</v>
      </c>
      <c r="F15" s="6">
        <f>_xlfn.NORM.DIST($C15,E$2,E$3,1)</f>
        <v>0.49999999999999989</v>
      </c>
      <c r="G15" s="6"/>
      <c r="H15" s="6">
        <f>_xlfn.NORM.DIST($C15,H$2,H$3,0)</f>
        <v>0.10798193302637601</v>
      </c>
      <c r="I15" s="6">
        <f>_xlfn.NORM.DIST($C15,H$2,H$3,1)</f>
        <v>2.2750131948179184E-2</v>
      </c>
      <c r="J15" s="6"/>
      <c r="K15" s="6">
        <f>_xlfn.NORM.DIST($C15,K$2,K$3,0)</f>
        <v>5.3990966513188007E-2</v>
      </c>
      <c r="L15" s="6">
        <f>_xlfn.NORM.DIST($C15,K$2,K$3,1)</f>
        <v>2.2750131948179184E-2</v>
      </c>
      <c r="M15" s="6"/>
      <c r="N15" s="6">
        <f>_xlfn.NORM.DIST($C15,N$2,N$3,0)</f>
        <v>6.475879783294583E-2</v>
      </c>
      <c r="O15" s="6">
        <f>_xlfn.NORM.DIST($C15,N$2,N$3,1)</f>
        <v>6.6807201268858057E-2</v>
      </c>
      <c r="P15" s="6"/>
      <c r="Q15" s="6">
        <f>_xlfn.NORM.DIST($C15,Q$2,Q$3,0)</f>
        <v>0</v>
      </c>
      <c r="R15" s="6">
        <f>_xlfn.NORM.DIST($C15,Q$2,Q$3,1)</f>
        <v>0</v>
      </c>
    </row>
    <row r="16" spans="2:18">
      <c r="B16" s="2">
        <f t="shared" si="2"/>
        <v>12</v>
      </c>
      <c r="C16" s="5">
        <f t="shared" si="3"/>
        <v>0.19999999999999973</v>
      </c>
      <c r="D16" s="2"/>
      <c r="E16" s="7">
        <f>_xlfn.NORM.DIST($C16,E$2,E$3,0)</f>
        <v>0.39104269397545594</v>
      </c>
      <c r="F16" s="7">
        <f>_xlfn.NORM.DIST($C16,E$2,E$3,1)</f>
        <v>0.57925970943910299</v>
      </c>
      <c r="G16" s="7"/>
      <c r="H16" s="7">
        <f>_xlfn.NORM.DIST($C16,H$2,H$3,0)</f>
        <v>0.22184166935891092</v>
      </c>
      <c r="I16" s="7">
        <f>_xlfn.NORM.DIST($C16,H$2,H$3,1)</f>
        <v>5.4799291699557925E-2</v>
      </c>
      <c r="J16" s="7"/>
      <c r="K16" s="7">
        <f>_xlfn.NORM.DIST($C16,K$2,K$3,0)</f>
        <v>7.8950158300894122E-2</v>
      </c>
      <c r="L16" s="7">
        <f>_xlfn.NORM.DIST($C16,K$2,K$3,1)</f>
        <v>3.5930319112925754E-2</v>
      </c>
      <c r="M16" s="7"/>
      <c r="N16" s="7">
        <f>_xlfn.NORM.DIST($C16,N$2,N$3,0)</f>
        <v>7.4863732817872411E-2</v>
      </c>
      <c r="O16" s="7">
        <f>_xlfn.NORM.DIST($C16,N$2,N$3,1)</f>
        <v>8.0756659233771025E-2</v>
      </c>
      <c r="P16" s="7"/>
      <c r="Q16" s="7">
        <f>_xlfn.NORM.DIST($C16,Q$2,Q$3,0)</f>
        <v>0</v>
      </c>
      <c r="R16" s="7">
        <f>_xlfn.NORM.DIST($C16,Q$2,Q$3,1)</f>
        <v>0</v>
      </c>
    </row>
    <row r="17" spans="2:18">
      <c r="B17">
        <f t="shared" si="2"/>
        <v>13</v>
      </c>
      <c r="C17" s="4">
        <f t="shared" si="3"/>
        <v>0.39999999999999974</v>
      </c>
      <c r="E17" s="6">
        <f>_xlfn.NORM.DIST($C17,E$2,E$3,0)</f>
        <v>0.36827014030332339</v>
      </c>
      <c r="F17" s="6">
        <f>_xlfn.NORM.DIST($C17,E$2,E$3,1)</f>
        <v>0.65542174161032407</v>
      </c>
      <c r="G17" s="6"/>
      <c r="H17" s="6">
        <f>_xlfn.NORM.DIST($C17,H$2,H$3,0)</f>
        <v>0.38837210996642563</v>
      </c>
      <c r="I17" s="6">
        <f>_xlfn.NORM.DIST($C17,H$2,H$3,1)</f>
        <v>0.1150696702217081</v>
      </c>
      <c r="J17" s="6"/>
      <c r="K17" s="6">
        <f>_xlfn.NORM.DIST($C17,K$2,K$3,0)</f>
        <v>0.11092083467945553</v>
      </c>
      <c r="L17" s="6">
        <f>_xlfn.NORM.DIST($C17,K$2,K$3,1)</f>
        <v>5.4799291699557967E-2</v>
      </c>
      <c r="M17" s="6"/>
      <c r="N17" s="6">
        <f>_xlfn.NORM.DIST($C17,N$2,N$3,0)</f>
        <v>8.5684296023903678E-2</v>
      </c>
      <c r="O17" s="6">
        <f>_xlfn.NORM.DIST($C17,N$2,N$3,1)</f>
        <v>9.6800484585610316E-2</v>
      </c>
      <c r="P17" s="6"/>
      <c r="Q17" s="6">
        <f>_xlfn.NORM.DIST($C17,Q$2,Q$3,0)</f>
        <v>0</v>
      </c>
      <c r="R17" s="6">
        <f>_xlfn.NORM.DIST($C17,Q$2,Q$3,1)</f>
        <v>0</v>
      </c>
    </row>
    <row r="18" spans="2:18">
      <c r="B18">
        <f t="shared" si="2"/>
        <v>14</v>
      </c>
      <c r="C18" s="4">
        <f t="shared" ref="C18:C51" si="4">C17+0.2</f>
        <v>0.59999999999999976</v>
      </c>
      <c r="E18" s="6">
        <f>_xlfn.NORM.DIST($C18,E$2,E$3,0)</f>
        <v>0.33322460289179967</v>
      </c>
      <c r="F18" s="6">
        <f>_xlfn.NORM.DIST($C18,E$2,E$3,1)</f>
        <v>0.72574688224992645</v>
      </c>
      <c r="G18" s="6"/>
      <c r="H18" s="6">
        <f>_xlfn.NORM.DIST($C18,H$2,H$3,0)</f>
        <v>0.57938310552296524</v>
      </c>
      <c r="I18" s="6">
        <f>_xlfn.NORM.DIST($C18,H$2,H$3,1)</f>
        <v>0.21185539858339653</v>
      </c>
      <c r="J18" s="6"/>
      <c r="K18" s="6">
        <f>_xlfn.NORM.DIST($C18,K$2,K$3,0)</f>
        <v>0.14972746563574479</v>
      </c>
      <c r="L18" s="6">
        <f>_xlfn.NORM.DIST($C18,K$2,K$3,1)</f>
        <v>8.0756659233770997E-2</v>
      </c>
      <c r="M18" s="6"/>
      <c r="N18" s="6">
        <f>_xlfn.NORM.DIST($C18,N$2,N$3,0)</f>
        <v>9.7093027491606462E-2</v>
      </c>
      <c r="O18" s="6">
        <f>_xlfn.NORM.DIST($C18,N$2,N$3,1)</f>
        <v>0.11506967022170821</v>
      </c>
      <c r="P18" s="6"/>
      <c r="Q18" s="6">
        <f>_xlfn.NORM.DIST($C18,Q$2,Q$3,0)</f>
        <v>0</v>
      </c>
      <c r="R18" s="6">
        <f>_xlfn.NORM.DIST($C18,Q$2,Q$3,1)</f>
        <v>0</v>
      </c>
    </row>
    <row r="19" spans="2:18">
      <c r="B19">
        <f t="shared" si="2"/>
        <v>15</v>
      </c>
      <c r="C19" s="4">
        <f t="shared" si="4"/>
        <v>0.79999999999999982</v>
      </c>
      <c r="E19" s="6">
        <f>_xlfn.NORM.DIST($C19,E$2,E$3,0)</f>
        <v>0.28969155276148278</v>
      </c>
      <c r="F19" s="6">
        <f>_xlfn.NORM.DIST($C19,E$2,E$3,1)</f>
        <v>0.78814460141660325</v>
      </c>
      <c r="G19" s="6"/>
      <c r="H19" s="6">
        <f>_xlfn.NORM.DIST($C19,H$2,H$3,0)</f>
        <v>0.73654028060664656</v>
      </c>
      <c r="I19" s="6">
        <f>_xlfn.NORM.DIST($C19,H$2,H$3,1)</f>
        <v>0.34457825838967565</v>
      </c>
      <c r="J19" s="6"/>
      <c r="K19" s="6">
        <f>_xlfn.NORM.DIST($C19,K$2,K$3,0)</f>
        <v>0.19418605498321292</v>
      </c>
      <c r="L19" s="6">
        <f>_xlfn.NORM.DIST($C19,K$2,K$3,1)</f>
        <v>0.11506967022170821</v>
      </c>
      <c r="M19" s="6"/>
      <c r="N19" s="6">
        <f>_xlfn.NORM.DIST($C19,N$2,N$3,0)</f>
        <v>0.10892608851627526</v>
      </c>
      <c r="O19" s="6">
        <f>_xlfn.NORM.DIST($C19,N$2,N$3,1)</f>
        <v>0.13566606094638264</v>
      </c>
      <c r="P19" s="6"/>
      <c r="Q19" s="6">
        <f>_xlfn.NORM.DIST($C19,Q$2,Q$3,0)</f>
        <v>0</v>
      </c>
      <c r="R19" s="6">
        <f>_xlfn.NORM.DIST($C19,Q$2,Q$3,1)</f>
        <v>0</v>
      </c>
    </row>
    <row r="20" spans="2:18">
      <c r="B20">
        <f t="shared" si="2"/>
        <v>16</v>
      </c>
      <c r="C20" s="4">
        <f t="shared" si="4"/>
        <v>0.99999999999999978</v>
      </c>
      <c r="E20" s="6">
        <f>_xlfn.NORM.DIST($C20,E$2,E$3,0)</f>
        <v>0.24197072451914342</v>
      </c>
      <c r="F20" s="6">
        <f>_xlfn.NORM.DIST($C20,E$2,E$3,1)</f>
        <v>0.84134474606854281</v>
      </c>
      <c r="G20" s="6"/>
      <c r="H20" s="8">
        <f>_xlfn.NORM.DIST($C20,H$2,H$3,0)</f>
        <v>0.79788456080286541</v>
      </c>
      <c r="I20" s="6">
        <f>_xlfn.NORM.DIST($C20,H$2,H$3,1)</f>
        <v>0.49999999999999983</v>
      </c>
      <c r="J20" s="6"/>
      <c r="K20" s="6">
        <f>_xlfn.NORM.DIST($C20,K$2,K$3,0)</f>
        <v>0.24197072451914331</v>
      </c>
      <c r="L20" s="6">
        <f>_xlfn.NORM.DIST($C20,K$2,K$3,1)</f>
        <v>0.15865525393145699</v>
      </c>
      <c r="M20" s="6"/>
      <c r="N20" s="6">
        <f>_xlfn.NORM.DIST($C20,N$2,N$3,0)</f>
        <v>0.12098536225957168</v>
      </c>
      <c r="O20" s="6">
        <f>_xlfn.NORM.DIST($C20,N$2,N$3,1)</f>
        <v>0.15865525393145699</v>
      </c>
      <c r="P20" s="6"/>
      <c r="Q20" s="8">
        <f>_xlfn.NORM.DIST($C20,Q$2,Q$3,0)</f>
        <v>0</v>
      </c>
      <c r="R20" s="6">
        <f>_xlfn.NORM.DIST($C20,Q$2,Q$3,1)</f>
        <v>0</v>
      </c>
    </row>
    <row r="21" spans="2:18">
      <c r="B21" s="2">
        <f t="shared" ref="B21:B26" si="5">B20+1</f>
        <v>17</v>
      </c>
      <c r="C21" s="5">
        <f t="shared" si="4"/>
        <v>1.1999999999999997</v>
      </c>
      <c r="D21" s="2"/>
      <c r="E21" s="7">
        <f>_xlfn.NORM.DIST($C21,E$2,E$3,0)</f>
        <v>0.19418605498321304</v>
      </c>
      <c r="F21" s="7">
        <f>_xlfn.NORM.DIST($C21,E$2,E$3,1)</f>
        <v>0.88493032977829167</v>
      </c>
      <c r="G21" s="7"/>
      <c r="H21" s="7">
        <f>_xlfn.NORM.DIST($C21,H$2,H$3,0)</f>
        <v>0.73654028060664678</v>
      </c>
      <c r="I21" s="7">
        <f>_xlfn.NORM.DIST($C21,H$2,H$3,1)</f>
        <v>0.65542174161032396</v>
      </c>
      <c r="J21" s="7"/>
      <c r="K21" s="7">
        <f>_xlfn.NORM.DIST($C21,K$2,K$3,0)</f>
        <v>0.28969155276148267</v>
      </c>
      <c r="L21" s="7">
        <f>_xlfn.NORM.DIST($C21,K$2,K$3,1)</f>
        <v>0.21185539858339658</v>
      </c>
      <c r="M21" s="7"/>
      <c r="N21" s="7">
        <f>_xlfn.NORM.DIST($C21,N$2,N$3,0)</f>
        <v>0.13304262494937738</v>
      </c>
      <c r="O21" s="7">
        <f>_xlfn.NORM.DIST($C21,N$2,N$3,1)</f>
        <v>0.18406012534675942</v>
      </c>
      <c r="P21" s="7"/>
      <c r="Q21" s="7">
        <f>_xlfn.NORM.DIST($C21,Q$2,Q$3,0)</f>
        <v>0</v>
      </c>
      <c r="R21" s="7">
        <f>_xlfn.NORM.DIST($C21,Q$2,Q$3,1)</f>
        <v>0</v>
      </c>
    </row>
    <row r="22" spans="2:18">
      <c r="B22">
        <f t="shared" si="5"/>
        <v>18</v>
      </c>
      <c r="C22" s="4">
        <f t="shared" si="4"/>
        <v>1.3999999999999997</v>
      </c>
      <c r="E22" s="6">
        <f>_xlfn.NORM.DIST($C22,E$2,E$3,0)</f>
        <v>0.14972746563574493</v>
      </c>
      <c r="F22" s="6">
        <f>_xlfn.NORM.DIST($C22,E$2,E$3,1)</f>
        <v>0.91924334076622893</v>
      </c>
      <c r="G22" s="6"/>
      <c r="H22" s="6">
        <f>_xlfn.NORM.DIST($C22,H$2,H$3,0)</f>
        <v>0.57938310552296579</v>
      </c>
      <c r="I22" s="6">
        <f>_xlfn.NORM.DIST($C22,H$2,H$3,1)</f>
        <v>0.78814460141660314</v>
      </c>
      <c r="J22" s="6"/>
      <c r="K22" s="6">
        <f>_xlfn.NORM.DIST($C22,K$2,K$3,0)</f>
        <v>0.33322460289179962</v>
      </c>
      <c r="L22" s="6">
        <f>_xlfn.NORM.DIST($C22,K$2,K$3,1)</f>
        <v>0.27425311775007344</v>
      </c>
      <c r="M22" s="6"/>
      <c r="N22" s="6">
        <f>_xlfn.NORM.DIST($C22,N$2,N$3,0)</f>
        <v>0.14484577638074136</v>
      </c>
      <c r="O22" s="6">
        <f>_xlfn.NORM.DIST($C22,N$2,N$3,1)</f>
        <v>0.21185539858339661</v>
      </c>
      <c r="P22" s="6"/>
      <c r="Q22" s="6">
        <f>_xlfn.NORM.DIST($C22,Q$2,Q$3,0)</f>
        <v>0</v>
      </c>
      <c r="R22" s="6">
        <f>_xlfn.NORM.DIST($C22,Q$2,Q$3,1)</f>
        <v>0</v>
      </c>
    </row>
    <row r="23" spans="2:18">
      <c r="B23">
        <f t="shared" si="5"/>
        <v>19</v>
      </c>
      <c r="C23" s="4">
        <f t="shared" si="4"/>
        <v>1.5999999999999996</v>
      </c>
      <c r="E23" s="6">
        <f>_xlfn.NORM.DIST($C23,E$2,E$3,0)</f>
        <v>0.11092083467945563</v>
      </c>
      <c r="F23" s="6">
        <f>_xlfn.NORM.DIST($C23,E$2,E$3,1)</f>
        <v>0.94520070830044201</v>
      </c>
      <c r="G23" s="6"/>
      <c r="H23" s="6">
        <f>_xlfn.NORM.DIST($C23,H$2,H$3,0)</f>
        <v>0.38837210996642624</v>
      </c>
      <c r="I23" s="6">
        <f>_xlfn.NORM.DIST($C23,H$2,H$3,1)</f>
        <v>0.88493032977829156</v>
      </c>
      <c r="J23" s="6"/>
      <c r="K23" s="6">
        <f>_xlfn.NORM.DIST($C23,K$2,K$3,0)</f>
        <v>0.36827014030332328</v>
      </c>
      <c r="L23" s="6">
        <f>_xlfn.NORM.DIST($C23,K$2,K$3,1)</f>
        <v>0.34457825838967565</v>
      </c>
      <c r="M23" s="6"/>
      <c r="N23" s="6">
        <f>_xlfn.NORM.DIST($C23,N$2,N$3,0)</f>
        <v>0.15612696668338061</v>
      </c>
      <c r="O23" s="6">
        <f>_xlfn.NORM.DIST($C23,N$2,N$3,1)</f>
        <v>0.24196365222307298</v>
      </c>
      <c r="P23" s="6"/>
      <c r="Q23" s="6">
        <f>_xlfn.NORM.DIST($C23,Q$2,Q$3,0)</f>
        <v>0</v>
      </c>
      <c r="R23" s="6">
        <f>_xlfn.NORM.DIST($C23,Q$2,Q$3,1)</f>
        <v>0</v>
      </c>
    </row>
    <row r="24" spans="2:18">
      <c r="B24">
        <f t="shared" si="5"/>
        <v>20</v>
      </c>
      <c r="C24" s="4">
        <f t="shared" si="4"/>
        <v>1.7999999999999996</v>
      </c>
      <c r="E24" s="6">
        <f>_xlfn.NORM.DIST($C24,E$2,E$3,0)</f>
        <v>7.8950158300894219E-2</v>
      </c>
      <c r="F24" s="6">
        <f>_xlfn.NORM.DIST($C24,E$2,E$3,1)</f>
        <v>0.96406968088707412</v>
      </c>
      <c r="G24" s="6"/>
      <c r="H24" s="6">
        <f>_xlfn.NORM.DIST($C24,H$2,H$3,0)</f>
        <v>0.22184166935891139</v>
      </c>
      <c r="I24" s="6">
        <f>_xlfn.NORM.DIST($C24,H$2,H$3,1)</f>
        <v>0.94520070830044189</v>
      </c>
      <c r="J24" s="6"/>
      <c r="K24" s="6">
        <f>_xlfn.NORM.DIST($C24,K$2,K$3,0)</f>
        <v>0.39104269397545588</v>
      </c>
      <c r="L24" s="6">
        <f>_xlfn.NORM.DIST($C24,K$2,K$3,1)</f>
        <v>0.42074029056089679</v>
      </c>
      <c r="M24" s="6"/>
      <c r="N24" s="6">
        <f>_xlfn.NORM.DIST($C24,N$2,N$3,0)</f>
        <v>0.16661230144589981</v>
      </c>
      <c r="O24" s="6">
        <f>_xlfn.NORM.DIST($C24,N$2,N$3,1)</f>
        <v>0.27425311775007349</v>
      </c>
      <c r="P24" s="6"/>
      <c r="Q24" s="6">
        <f>_xlfn.NORM.DIST($C24,Q$2,Q$3,0)</f>
        <v>0</v>
      </c>
      <c r="R24" s="6">
        <f>_xlfn.NORM.DIST($C24,Q$2,Q$3,1)</f>
        <v>0</v>
      </c>
    </row>
    <row r="25" spans="2:18">
      <c r="B25">
        <f t="shared" si="5"/>
        <v>21</v>
      </c>
      <c r="C25" s="4">
        <f t="shared" si="4"/>
        <v>1.9999999999999996</v>
      </c>
      <c r="E25" s="6">
        <f>_xlfn.NORM.DIST($C25,E$2,E$3,0)</f>
        <v>5.3990966513188104E-2</v>
      </c>
      <c r="F25" s="6">
        <f>_xlfn.NORM.DIST($C25,E$2,E$3,1)</f>
        <v>0.97724986805182079</v>
      </c>
      <c r="G25" s="6"/>
      <c r="H25" s="6">
        <f>_xlfn.NORM.DIST($C25,H$2,H$3,0)</f>
        <v>0.10798193302637629</v>
      </c>
      <c r="I25" s="6">
        <f>_xlfn.NORM.DIST($C25,H$2,H$3,1)</f>
        <v>0.97724986805182079</v>
      </c>
      <c r="J25" s="6"/>
      <c r="K25" s="8">
        <f>_xlfn.NORM.DIST($C25,K$2,K$3,0)</f>
        <v>0.3989422804014327</v>
      </c>
      <c r="L25" s="6">
        <f>_xlfn.NORM.DIST($C25,K$2,K$3,1)</f>
        <v>0.49999999999999983</v>
      </c>
      <c r="M25" s="6"/>
      <c r="N25" s="6">
        <f>_xlfn.NORM.DIST($C25,N$2,N$3,0)</f>
        <v>0.17603266338214973</v>
      </c>
      <c r="O25" s="6">
        <f>_xlfn.NORM.DIST($C25,N$2,N$3,1)</f>
        <v>0.30853753872598677</v>
      </c>
      <c r="P25" s="6"/>
      <c r="Q25" s="6">
        <f>_xlfn.NORM.DIST($C25,Q$2,Q$3,0)</f>
        <v>0</v>
      </c>
      <c r="R25" s="6">
        <f>_xlfn.NORM.DIST($C25,Q$2,Q$3,1)</f>
        <v>0</v>
      </c>
    </row>
    <row r="26" spans="2:18">
      <c r="B26" s="2">
        <f t="shared" si="5"/>
        <v>22</v>
      </c>
      <c r="C26" s="5">
        <f t="shared" si="4"/>
        <v>2.1999999999999997</v>
      </c>
      <c r="D26" s="2"/>
      <c r="E26" s="7">
        <f>_xlfn.NORM.DIST($C26,E$2,E$3,0)</f>
        <v>3.5474592846231459E-2</v>
      </c>
      <c r="F26" s="7">
        <f>_xlfn.NORM.DIST($C26,E$2,E$3,1)</f>
        <v>0.98609655248650141</v>
      </c>
      <c r="G26" s="7"/>
      <c r="H26" s="7">
        <f>_xlfn.NORM.DIST($C26,H$2,H$3,0)</f>
        <v>4.4789060589685861E-2</v>
      </c>
      <c r="I26" s="7">
        <f>_xlfn.NORM.DIST($C26,H$2,H$3,1)</f>
        <v>0.99180246407540384</v>
      </c>
      <c r="J26" s="7"/>
      <c r="K26" s="7">
        <f>_xlfn.NORM.DIST($C26,K$2,K$3,0)</f>
        <v>0.39104269397545594</v>
      </c>
      <c r="L26" s="7">
        <f>_xlfn.NORM.DIST($C26,K$2,K$3,1)</f>
        <v>0.57925970943910299</v>
      </c>
      <c r="M26" s="7"/>
      <c r="N26" s="7">
        <f>_xlfn.NORM.DIST($C26,N$2,N$3,0)</f>
        <v>0.18413507015166167</v>
      </c>
      <c r="O26" s="7">
        <f>_xlfn.NORM.DIST($C26,N$2,N$3,1)</f>
        <v>0.34457825838967571</v>
      </c>
      <c r="P26" s="7"/>
      <c r="Q26" s="7">
        <f>_xlfn.NORM.DIST($C26,Q$2,Q$3,0)</f>
        <v>3.0138094352407888E-281</v>
      </c>
      <c r="R26" s="7">
        <f>_xlfn.NORM.DIST($C26,Q$2,Q$3,1)</f>
        <v>4.1826240657968082E-284</v>
      </c>
    </row>
    <row r="27" spans="2:18">
      <c r="B27">
        <f t="shared" si="2"/>
        <v>23</v>
      </c>
      <c r="C27" s="4">
        <f t="shared" si="4"/>
        <v>2.4</v>
      </c>
      <c r="E27" s="6">
        <f>_xlfn.NORM.DIST($C27,E$2,E$3,0)</f>
        <v>2.2394530294842899E-2</v>
      </c>
      <c r="F27" s="6">
        <f>_xlfn.NORM.DIST($C27,E$2,E$3,1)</f>
        <v>0.99180246407540384</v>
      </c>
      <c r="G27" s="6"/>
      <c r="H27" s="6">
        <f>_xlfn.NORM.DIST($C27,H$2,H$3,0)</f>
        <v>1.5830903165959937E-2</v>
      </c>
      <c r="I27" s="6">
        <f>_xlfn.NORM.DIST($C27,H$2,H$3,1)</f>
        <v>0.99744486966957202</v>
      </c>
      <c r="J27" s="6"/>
      <c r="K27" s="6">
        <f>_xlfn.NORM.DIST($C27,K$2,K$3,0)</f>
        <v>0.36827014030332339</v>
      </c>
      <c r="L27" s="6">
        <f>_xlfn.NORM.DIST($C27,K$2,K$3,1)</f>
        <v>0.65542174161032418</v>
      </c>
      <c r="M27" s="6"/>
      <c r="N27" s="6">
        <f>_xlfn.NORM.DIST($C27,N$2,N$3,0)</f>
        <v>0.19069390773026204</v>
      </c>
      <c r="O27" s="6">
        <f>_xlfn.NORM.DIST($C27,N$2,N$3,1)</f>
        <v>0.38208857781104733</v>
      </c>
      <c r="P27" s="6"/>
      <c r="Q27" s="6">
        <f>_xlfn.NORM.DIST($C27,Q$2,Q$3,0)</f>
        <v>3.4927325135175532E-222</v>
      </c>
      <c r="R27" s="6">
        <f>_xlfn.NORM.DIST($C27,Q$2,Q$3,1)</f>
        <v>5.4520806035117765E-225</v>
      </c>
    </row>
    <row r="28" spans="2:18">
      <c r="B28">
        <f t="shared" si="2"/>
        <v>24</v>
      </c>
      <c r="C28" s="4">
        <f t="shared" si="4"/>
        <v>2.6</v>
      </c>
      <c r="E28" s="6">
        <f>_xlfn.NORM.DIST($C28,E$2,E$3,0)</f>
        <v>1.3582969233685613E-2</v>
      </c>
      <c r="F28" s="6">
        <f>_xlfn.NORM.DIST($C28,E$2,E$3,1)</f>
        <v>0.99533881197628127</v>
      </c>
      <c r="G28" s="6"/>
      <c r="H28" s="6">
        <f>_xlfn.NORM.DIST($C28,H$2,H$3,0)</f>
        <v>4.7681764029296808E-3</v>
      </c>
      <c r="I28" s="6">
        <f>_xlfn.NORM.DIST($C28,H$2,H$3,1)</f>
        <v>0.99931286206208414</v>
      </c>
      <c r="J28" s="6"/>
      <c r="K28" s="6">
        <f>_xlfn.NORM.DIST($C28,K$2,K$3,0)</f>
        <v>0.33322460289179967</v>
      </c>
      <c r="L28" s="6">
        <f>_xlfn.NORM.DIST($C28,K$2,K$3,1)</f>
        <v>0.72574688224992645</v>
      </c>
      <c r="M28" s="6"/>
      <c r="N28" s="6">
        <f>_xlfn.NORM.DIST($C28,N$2,N$3,0)</f>
        <v>0.19552134698772797</v>
      </c>
      <c r="O28" s="6">
        <f>_xlfn.NORM.DIST($C28,N$2,N$3,1)</f>
        <v>0.42074029056089696</v>
      </c>
      <c r="P28" s="6"/>
      <c r="Q28" s="6">
        <f>_xlfn.NORM.DIST($C28,Q$2,Q$3,0)</f>
        <v>4.5551549574738402E-170</v>
      </c>
      <c r="R28" s="6">
        <f>_xlfn.NORM.DIST($C28,Q$2,Q$3,1)</f>
        <v>8.1238694696594287E-173</v>
      </c>
    </row>
    <row r="29" spans="2:18">
      <c r="B29">
        <f t="shared" si="2"/>
        <v>25</v>
      </c>
      <c r="C29" s="4">
        <f t="shared" si="4"/>
        <v>2.8000000000000003</v>
      </c>
      <c r="E29" s="6">
        <f>_xlfn.NORM.DIST($C29,E$2,E$3,0)</f>
        <v>7.9154515829799564E-3</v>
      </c>
      <c r="F29" s="6">
        <f>_xlfn.NORM.DIST($C29,E$2,E$3,1)</f>
        <v>0.99744486966957202</v>
      </c>
      <c r="G29" s="6"/>
      <c r="H29" s="6">
        <f>_xlfn.NORM.DIST($C29,H$2,H$3,0)</f>
        <v>1.2238038602275418E-3</v>
      </c>
      <c r="I29" s="6">
        <f>_xlfn.NORM.DIST($C29,H$2,H$3,1)</f>
        <v>0.99984089140984245</v>
      </c>
      <c r="J29" s="6"/>
      <c r="K29" s="6">
        <f>_xlfn.NORM.DIST($C29,K$2,K$3,0)</f>
        <v>0.28969155276148267</v>
      </c>
      <c r="L29" s="6">
        <f>_xlfn.NORM.DIST($C29,K$2,K$3,1)</f>
        <v>0.78814460141660336</v>
      </c>
      <c r="M29" s="6"/>
      <c r="N29" s="6">
        <f>_xlfn.NORM.DIST($C29,N$2,N$3,0)</f>
        <v>0.1984762737385059</v>
      </c>
      <c r="O29" s="6">
        <f>_xlfn.NORM.DIST($C29,N$2,N$3,1)</f>
        <v>0.46017216272297107</v>
      </c>
      <c r="P29" s="6"/>
      <c r="Q29" s="6">
        <f>_xlfn.NORM.DIST($C29,Q$2,Q$3,0)</f>
        <v>6.6854288835900557E-125</v>
      </c>
      <c r="R29" s="6">
        <f>_xlfn.NORM.DIST($C29,Q$2,Q$3,1)</f>
        <v>1.39039211854994E-127</v>
      </c>
    </row>
    <row r="30" spans="2:18">
      <c r="B30">
        <f t="shared" si="2"/>
        <v>26</v>
      </c>
      <c r="C30" s="4">
        <f t="shared" si="4"/>
        <v>3.0000000000000004</v>
      </c>
      <c r="E30" s="6">
        <f>_xlfn.NORM.DIST($C30,E$2,E$3,0)</f>
        <v>4.4318484119379997E-3</v>
      </c>
      <c r="F30" s="6">
        <f>_xlfn.NORM.DIST($C30,E$2,E$3,1)</f>
        <v>0.9986501019683699</v>
      </c>
      <c r="G30" s="6"/>
      <c r="H30" s="6">
        <f>_xlfn.NORM.DIST($C30,H$2,H$3,0)</f>
        <v>2.6766045152976976E-4</v>
      </c>
      <c r="I30" s="6">
        <f>_xlfn.NORM.DIST($C30,H$2,H$3,1)</f>
        <v>0.99996832875816688</v>
      </c>
      <c r="J30" s="6"/>
      <c r="K30" s="6">
        <f>_xlfn.NORM.DIST($C30,K$2,K$3,0)</f>
        <v>0.24197072451914328</v>
      </c>
      <c r="L30" s="6">
        <f>_xlfn.NORM.DIST($C30,K$2,K$3,1)</f>
        <v>0.84134474606854304</v>
      </c>
      <c r="M30" s="6"/>
      <c r="N30" s="6">
        <f>_xlfn.NORM.DIST($C30,N$2,N$3,0)</f>
        <v>0.19947114020071635</v>
      </c>
      <c r="O30" s="6">
        <f>_xlfn.NORM.DIST($C30,N$2,N$3,1)</f>
        <v>0.50000000000000011</v>
      </c>
      <c r="P30" s="6"/>
      <c r="Q30" s="6">
        <f>_xlfn.NORM.DIST($C30,Q$2,Q$3,0)</f>
        <v>1.1041896724322036E-86</v>
      </c>
      <c r="R30" s="6">
        <f>_xlfn.NORM.DIST($C30,Q$2,Q$3,1)</f>
        <v>2.7536241186067838E-89</v>
      </c>
    </row>
    <row r="31" spans="2:18">
      <c r="B31" s="2">
        <f t="shared" ref="B31:B36" si="6">B30+1</f>
        <v>27</v>
      </c>
      <c r="C31" s="5">
        <f t="shared" si="4"/>
        <v>3.2000000000000006</v>
      </c>
      <c r="D31" s="2"/>
      <c r="E31" s="7">
        <f>_xlfn.NORM.DIST($C31,E$2,E$3,0)</f>
        <v>2.3840882014648382E-3</v>
      </c>
      <c r="F31" s="7">
        <f>_xlfn.NORM.DIST($C31,E$2,E$3,1)</f>
        <v>0.99931286206208414</v>
      </c>
      <c r="G31" s="7"/>
      <c r="H31" s="7">
        <f>_xlfn.NORM.DIST($C31,H$2,H$3,0)</f>
        <v>4.9884942580106888E-5</v>
      </c>
      <c r="I31" s="7">
        <f>_xlfn.NORM.DIST($C31,H$2,H$3,1)</f>
        <v>0.99999458745609227</v>
      </c>
      <c r="J31" s="7"/>
      <c r="K31" s="7">
        <f>_xlfn.NORM.DIST($C31,K$2,K$3,0)</f>
        <v>0.19418605498321281</v>
      </c>
      <c r="L31" s="7">
        <f>_xlfn.NORM.DIST($C31,K$2,K$3,1)</f>
        <v>0.88493032977829189</v>
      </c>
      <c r="M31" s="7"/>
      <c r="N31" s="7">
        <f>_xlfn.NORM.DIST($C31,N$2,N$3,0)</f>
        <v>0.1984762737385059</v>
      </c>
      <c r="O31" s="7">
        <f>_xlfn.NORM.DIST($C31,N$2,N$3,1)</f>
        <v>0.5398278372770291</v>
      </c>
      <c r="P31" s="7"/>
      <c r="Q31" s="7">
        <f>_xlfn.NORM.DIST($C31,Q$2,Q$3,0)</f>
        <v>2.0523261455842737E-55</v>
      </c>
      <c r="R31" s="7">
        <f>_xlfn.NORM.DIST($C31,Q$2,Q$3,1)</f>
        <v>6.3887544005395456E-58</v>
      </c>
    </row>
    <row r="32" spans="2:18">
      <c r="B32">
        <f t="shared" si="6"/>
        <v>28</v>
      </c>
      <c r="C32" s="4">
        <f t="shared" si="4"/>
        <v>3.4000000000000008</v>
      </c>
      <c r="E32" s="6">
        <f>_xlfn.NORM.DIST($C32,E$2,E$3,0)</f>
        <v>1.2322191684730154E-3</v>
      </c>
      <c r="F32" s="6">
        <f>_xlfn.NORM.DIST($C32,E$2,E$3,1)</f>
        <v>0.99966307073432314</v>
      </c>
      <c r="G32" s="6"/>
      <c r="H32" s="6">
        <f>_xlfn.NORM.DIST($C32,H$2,H$3,0)</f>
        <v>7.9225981820640812E-6</v>
      </c>
      <c r="I32" s="6">
        <f>_xlfn.NORM.DIST($C32,H$2,H$3,1)</f>
        <v>0.99999920667184805</v>
      </c>
      <c r="J32" s="6"/>
      <c r="K32" s="6">
        <f>_xlfn.NORM.DIST($C32,K$2,K$3,0)</f>
        <v>0.14972746563574471</v>
      </c>
      <c r="L32" s="6">
        <f>_xlfn.NORM.DIST($C32,K$2,K$3,1)</f>
        <v>0.91924334076622904</v>
      </c>
      <c r="M32" s="6"/>
      <c r="N32" s="6">
        <f>_xlfn.NORM.DIST($C32,N$2,N$3,0)</f>
        <v>0.19552134698772794</v>
      </c>
      <c r="O32" s="6">
        <f>_xlfn.NORM.DIST($C32,N$2,N$3,1)</f>
        <v>0.57925970943910321</v>
      </c>
      <c r="P32" s="6"/>
      <c r="Q32" s="6">
        <f>_xlfn.NORM.DIST($C32,Q$2,Q$3,0)</f>
        <v>4.2927674713269747E-31</v>
      </c>
      <c r="R32" s="6">
        <f>_xlfn.NORM.DIST($C32,Q$2,Q$3,1)</f>
        <v>1.7764821120780345E-33</v>
      </c>
    </row>
    <row r="33" spans="2:18">
      <c r="B33">
        <f t="shared" si="6"/>
        <v>29</v>
      </c>
      <c r="C33" s="4">
        <f t="shared" si="4"/>
        <v>3.600000000000001</v>
      </c>
      <c r="E33" s="6">
        <f>_xlfn.NORM.DIST($C33,E$2,E$3,0)</f>
        <v>6.1190193011377027E-4</v>
      </c>
      <c r="F33" s="6">
        <f>_xlfn.NORM.DIST($C33,E$2,E$3,1)</f>
        <v>0.99984089140984245</v>
      </c>
      <c r="G33" s="6"/>
      <c r="H33" s="6">
        <f>_xlfn.NORM.DIST($C33,H$2,H$3,0)</f>
        <v>1.0722070689395132E-6</v>
      </c>
      <c r="I33" s="6">
        <f>_xlfn.NORM.DIST($C33,H$2,H$3,1)</f>
        <v>0.99999990035573683</v>
      </c>
      <c r="J33" s="6"/>
      <c r="K33" s="6">
        <f>_xlfn.NORM.DIST($C33,K$2,K$3,0)</f>
        <v>0.11092083467945539</v>
      </c>
      <c r="L33" s="6">
        <f>_xlfn.NORM.DIST($C33,K$2,K$3,1)</f>
        <v>0.94520070830044212</v>
      </c>
      <c r="M33" s="6"/>
      <c r="N33" s="6">
        <f>_xlfn.NORM.DIST($C33,N$2,N$3,0)</f>
        <v>0.19069390773026201</v>
      </c>
      <c r="O33" s="6">
        <f>_xlfn.NORM.DIST($C33,N$2,N$3,1)</f>
        <v>0.61791142218895279</v>
      </c>
      <c r="P33" s="6"/>
      <c r="Q33" s="6">
        <f>_xlfn.NORM.DIST($C33,Q$2,Q$3,0)</f>
        <v>1.0104542167075364E-13</v>
      </c>
      <c r="R33" s="6">
        <f>_xlfn.NORM.DIST($C33,Q$2,Q$3,1)</f>
        <v>6.2209605742727719E-16</v>
      </c>
    </row>
    <row r="34" spans="2:18">
      <c r="B34">
        <f t="shared" si="6"/>
        <v>30</v>
      </c>
      <c r="C34" s="4">
        <f t="shared" si="4"/>
        <v>3.8000000000000012</v>
      </c>
      <c r="E34" s="6">
        <f>_xlfn.NORM.DIST($C34,E$2,E$3,0)</f>
        <v>2.9194692579145897E-4</v>
      </c>
      <c r="F34" s="6">
        <f>_xlfn.NORM.DIST($C34,E$2,E$3,1)</f>
        <v>0.99992765195607491</v>
      </c>
      <c r="G34" s="6"/>
      <c r="H34" s="6">
        <f>_xlfn.NORM.DIST($C34,H$2,H$3,0)</f>
        <v>1.2365241000331537E-7</v>
      </c>
      <c r="I34" s="6">
        <f>_xlfn.NORM.DIST($C34,H$2,H$3,1)</f>
        <v>0.99999998928240974</v>
      </c>
      <c r="J34" s="6"/>
      <c r="K34" s="6">
        <f>_xlfn.NORM.DIST($C34,K$2,K$3,0)</f>
        <v>7.8950158300893997E-2</v>
      </c>
      <c r="L34" s="6">
        <f>_xlfn.NORM.DIST($C34,K$2,K$3,1)</f>
        <v>0.96406968088707434</v>
      </c>
      <c r="M34" s="6"/>
      <c r="N34" s="6">
        <f>_xlfn.NORM.DIST($C34,N$2,N$3,0)</f>
        <v>0.18413507015166161</v>
      </c>
      <c r="O34" s="6">
        <f>_xlfn.NORM.DIST($C34,N$2,N$3,1)</f>
        <v>0.6554217416103244</v>
      </c>
      <c r="P34" s="6"/>
      <c r="Q34" s="6">
        <f>_xlfn.NORM.DIST($C34,Q$2,Q$3,0)</f>
        <v>2.6766045152979544E-3</v>
      </c>
      <c r="R34" s="6">
        <f>_xlfn.NORM.DIST($C34,Q$2,Q$3,1)</f>
        <v>3.1671241833122974E-5</v>
      </c>
    </row>
    <row r="35" spans="2:18">
      <c r="B35">
        <f t="shared" si="6"/>
        <v>31</v>
      </c>
      <c r="C35" s="4">
        <f t="shared" si="4"/>
        <v>4.0000000000000009</v>
      </c>
      <c r="E35" s="6">
        <f>_xlfn.NORM.DIST($C35,E$2,E$3,0)</f>
        <v>1.3383022576488488E-4</v>
      </c>
      <c r="F35" s="6">
        <f>_xlfn.NORM.DIST($C35,E$2,E$3,1)</f>
        <v>0.99996832875816688</v>
      </c>
      <c r="G35" s="6"/>
      <c r="H35" s="6">
        <f>_xlfn.NORM.DIST($C35,H$2,H$3,0)</f>
        <v>1.2151765699646443E-8</v>
      </c>
      <c r="I35" s="6">
        <f>_xlfn.NORM.DIST($C35,H$2,H$3,1)</f>
        <v>0.9999999990134123</v>
      </c>
      <c r="J35" s="6"/>
      <c r="K35" s="6">
        <f>_xlfn.NORM.DIST($C35,K$2,K$3,0)</f>
        <v>5.3990966513187959E-2</v>
      </c>
      <c r="L35" s="6">
        <f>_xlfn.NORM.DIST($C35,K$2,K$3,1)</f>
        <v>0.9772498680518209</v>
      </c>
      <c r="M35" s="6"/>
      <c r="N35" s="6">
        <f>_xlfn.NORM.DIST($C35,N$2,N$3,0)</f>
        <v>0.17603266338214971</v>
      </c>
      <c r="O35" s="6">
        <f>_xlfn.NORM.DIST($C35,N$2,N$3,1)</f>
        <v>0.69146246127401334</v>
      </c>
      <c r="P35" s="6"/>
      <c r="Q35" s="6">
        <f>_xlfn.NORM.DIST($C35,Q$2,Q$3,0)</f>
        <v>7.9788456080286538</v>
      </c>
      <c r="R35" s="6">
        <f>_xlfn.NORM.DIST($C35,Q$2,Q$3,1)</f>
        <v>0.50000000000000711</v>
      </c>
    </row>
    <row r="36" spans="2:18">
      <c r="B36" s="2">
        <f t="shared" si="6"/>
        <v>32</v>
      </c>
      <c r="C36" s="5">
        <f t="shared" si="4"/>
        <v>4.2000000000000011</v>
      </c>
      <c r="D36" s="2"/>
      <c r="E36" s="7">
        <f>_xlfn.NORM.DIST($C36,E$2,E$3,0)</f>
        <v>5.8943067756539645E-5</v>
      </c>
      <c r="F36" s="7">
        <f>_xlfn.NORM.DIST($C36,E$2,E$3,1)</f>
        <v>0.9999866542509841</v>
      </c>
      <c r="G36" s="7"/>
      <c r="H36" s="7">
        <f>_xlfn.NORM.DIST($C36,H$2,H$3,0)</f>
        <v>1.0176280563289968E-9</v>
      </c>
      <c r="I36" s="7">
        <f>_xlfn.NORM.DIST($C36,H$2,H$3,1)</f>
        <v>0.99999999992231148</v>
      </c>
      <c r="J36" s="7"/>
      <c r="K36" s="7">
        <f>_xlfn.NORM.DIST($C36,K$2,K$3,0)</f>
        <v>3.5474592846231362E-2</v>
      </c>
      <c r="L36" s="7">
        <f>_xlfn.NORM.DIST($C36,K$2,K$3,1)</f>
        <v>0.98609655248650141</v>
      </c>
      <c r="M36" s="7"/>
      <c r="N36" s="7">
        <f>_xlfn.NORM.DIST($C36,N$2,N$3,0)</f>
        <v>0.16661230144589978</v>
      </c>
      <c r="O36" s="7">
        <f>_xlfn.NORM.DIST($C36,N$2,N$3,1)</f>
        <v>0.72574688224992667</v>
      </c>
      <c r="P36" s="7"/>
      <c r="Q36" s="7">
        <f>_xlfn.NORM.DIST($C36,Q$2,Q$3,0)</f>
        <v>2.6766045152974787E-3</v>
      </c>
      <c r="R36" s="7">
        <f>_xlfn.NORM.DIST($C36,Q$2,Q$3,1)</f>
        <v>0.99996832875816688</v>
      </c>
    </row>
    <row r="37" spans="2:18">
      <c r="B37">
        <f t="shared" si="2"/>
        <v>33</v>
      </c>
      <c r="C37" s="4">
        <f t="shared" si="4"/>
        <v>4.4000000000000012</v>
      </c>
      <c r="E37" s="6">
        <f>_xlfn.NORM.DIST($C37,E$2,E$3,0)</f>
        <v>2.4942471290053444E-5</v>
      </c>
      <c r="F37" s="6">
        <f>_xlfn.NORM.DIST($C37,E$2,E$3,1)</f>
        <v>0.99999458745609227</v>
      </c>
      <c r="G37" s="6"/>
      <c r="H37" s="6">
        <f>_xlfn.NORM.DIST($C37,H$2,H$3,0)</f>
        <v>7.2619230035834729E-11</v>
      </c>
      <c r="I37" s="6">
        <f>_xlfn.NORM.DIST($C37,H$2,H$3,1)</f>
        <v>0.99999999999476907</v>
      </c>
      <c r="J37" s="6"/>
      <c r="K37" s="6">
        <f>_xlfn.NORM.DIST($C37,K$2,K$3,0)</f>
        <v>2.239453029484283E-2</v>
      </c>
      <c r="L37" s="6">
        <f>_xlfn.NORM.DIST($C37,K$2,K$3,1)</f>
        <v>0.99180246407540396</v>
      </c>
      <c r="M37" s="6"/>
      <c r="N37" s="6">
        <f>_xlfn.NORM.DIST($C37,N$2,N$3,0)</f>
        <v>0.15612696668338058</v>
      </c>
      <c r="O37" s="6">
        <f>_xlfn.NORM.DIST($C37,N$2,N$3,1)</f>
        <v>0.75803634777692719</v>
      </c>
      <c r="P37" s="6"/>
      <c r="Q37" s="6">
        <f>_xlfn.NORM.DIST($C37,Q$2,Q$3,0)</f>
        <v>1.0104542167071775E-13</v>
      </c>
      <c r="R37" s="6">
        <f>_xlfn.NORM.DIST($C37,Q$2,Q$3,1)</f>
        <v>0.99999999999999933</v>
      </c>
    </row>
    <row r="38" spans="2:18">
      <c r="B38">
        <f t="shared" si="2"/>
        <v>34</v>
      </c>
      <c r="C38" s="4">
        <f t="shared" si="4"/>
        <v>4.6000000000000014</v>
      </c>
      <c r="E38" s="6">
        <f>_xlfn.NORM.DIST($C38,E$2,E$3,0)</f>
        <v>1.014085206548667E-5</v>
      </c>
      <c r="F38" s="6">
        <f>_xlfn.NORM.DIST($C38,E$2,E$3,1)</f>
        <v>0.9999978875452975</v>
      </c>
      <c r="G38" s="6"/>
      <c r="H38" s="6">
        <f>_xlfn.NORM.DIST($C38,H$2,H$3,0)</f>
        <v>4.4159799262742001E-12</v>
      </c>
      <c r="I38" s="6">
        <f>_xlfn.NORM.DIST($C38,H$2,H$3,1)</f>
        <v>0.99999999999969891</v>
      </c>
      <c r="J38" s="6"/>
      <c r="K38" s="6">
        <f>_xlfn.NORM.DIST($C38,K$2,K$3,0)</f>
        <v>1.3582969233685566E-2</v>
      </c>
      <c r="L38" s="6">
        <f>_xlfn.NORM.DIST($C38,K$2,K$3,1)</f>
        <v>0.99533881197628127</v>
      </c>
      <c r="M38" s="6"/>
      <c r="N38" s="6">
        <f>_xlfn.NORM.DIST($C38,N$2,N$3,0)</f>
        <v>0.14484577638074128</v>
      </c>
      <c r="O38" s="6">
        <f>_xlfn.NORM.DIST($C38,N$2,N$3,1)</f>
        <v>0.78814460141660359</v>
      </c>
      <c r="P38" s="6"/>
      <c r="Q38" s="6">
        <f>_xlfn.NORM.DIST($C38,Q$2,Q$3,0)</f>
        <v>4.2927674713246565E-31</v>
      </c>
      <c r="R38" s="6">
        <f>_xlfn.NORM.DIST($C38,Q$2,Q$3,1)</f>
        <v>1</v>
      </c>
    </row>
    <row r="39" spans="2:18">
      <c r="B39">
        <f t="shared" si="2"/>
        <v>35</v>
      </c>
      <c r="C39" s="4">
        <f t="shared" si="4"/>
        <v>4.8000000000000016</v>
      </c>
      <c r="E39" s="6">
        <f>_xlfn.NORM.DIST($C39,E$2,E$3,0)</f>
        <v>3.9612990910320406E-6</v>
      </c>
      <c r="F39" s="6">
        <f>_xlfn.NORM.DIST($C39,E$2,E$3,1)</f>
        <v>0.99999920667184805</v>
      </c>
      <c r="G39" s="6"/>
      <c r="H39" s="6">
        <f>_xlfn.NORM.DIST($C39,H$2,H$3,0)</f>
        <v>2.2883129803602169E-13</v>
      </c>
      <c r="I39" s="6">
        <f>_xlfn.NORM.DIST($C39,H$2,H$3,1)</f>
        <v>0.99999999999998523</v>
      </c>
      <c r="J39" s="6"/>
      <c r="K39" s="6">
        <f>_xlfn.NORM.DIST($C39,K$2,K$3,0)</f>
        <v>7.9154515829799287E-3</v>
      </c>
      <c r="L39" s="6">
        <f>_xlfn.NORM.DIST($C39,K$2,K$3,1)</f>
        <v>0.99744486966957213</v>
      </c>
      <c r="M39" s="6"/>
      <c r="N39" s="6">
        <f>_xlfn.NORM.DIST($C39,N$2,N$3,0)</f>
        <v>0.13304262494937732</v>
      </c>
      <c r="O39" s="6">
        <f>_xlfn.NORM.DIST($C39,N$2,N$3,1)</f>
        <v>0.81593987465324069</v>
      </c>
      <c r="P39" s="6"/>
      <c r="Q39" s="6">
        <f>_xlfn.NORM.DIST($C39,Q$2,Q$3,0)</f>
        <v>2.0523261455827571E-55</v>
      </c>
      <c r="R39" s="6">
        <f>_xlfn.NORM.DIST($C39,Q$2,Q$3,1)</f>
        <v>1</v>
      </c>
    </row>
    <row r="40" spans="2:18">
      <c r="B40">
        <f t="shared" si="2"/>
        <v>36</v>
      </c>
      <c r="C40" s="4">
        <f t="shared" si="4"/>
        <v>5.0000000000000018</v>
      </c>
      <c r="E40" s="6">
        <f>_xlfn.NORM.DIST($C40,E$2,E$3,0)</f>
        <v>1.4867195147342845E-6</v>
      </c>
      <c r="F40" s="6">
        <f>_xlfn.NORM.DIST($C40,E$2,E$3,1)</f>
        <v>0.99999971334842808</v>
      </c>
      <c r="G40" s="6"/>
      <c r="H40" s="6">
        <f>_xlfn.NORM.DIST($C40,H$2,H$3,0)</f>
        <v>1.0104542167073498E-14</v>
      </c>
      <c r="I40" s="6">
        <f>_xlfn.NORM.DIST($C40,H$2,H$3,1)</f>
        <v>0.99999999999999933</v>
      </c>
      <c r="J40" s="6"/>
      <c r="K40" s="6">
        <f>_xlfn.NORM.DIST($C40,K$2,K$3,0)</f>
        <v>4.4318484119379841E-3</v>
      </c>
      <c r="L40" s="6">
        <f>_xlfn.NORM.DIST($C40,K$2,K$3,1)</f>
        <v>0.9986501019683699</v>
      </c>
      <c r="M40" s="6"/>
      <c r="N40" s="8">
        <f>_xlfn.NORM.DIST($C40,N$2,N$3,0)</f>
        <v>0.12098536225957157</v>
      </c>
      <c r="O40" s="6">
        <f>_xlfn.NORM.DIST($C40,N$2,N$3,1)</f>
        <v>0.84134474606854326</v>
      </c>
      <c r="P40" s="6"/>
      <c r="Q40" s="6">
        <f>_xlfn.NORM.DIST($C40,Q$2,Q$3,0)</f>
        <v>1.1041896724311682E-86</v>
      </c>
      <c r="R40" s="6">
        <f>_xlfn.NORM.DIST($C40,Q$2,Q$3,1)</f>
        <v>1</v>
      </c>
    </row>
    <row r="41" spans="2:18">
      <c r="B41" s="2">
        <f t="shared" ref="B41:B46" si="7">B40+1</f>
        <v>37</v>
      </c>
      <c r="C41" s="5">
        <f t="shared" si="4"/>
        <v>5.200000000000002</v>
      </c>
      <c r="D41" s="2"/>
      <c r="E41" s="7">
        <f>_xlfn.NORM.DIST($C41,E$2,E$3,0)</f>
        <v>5.3610353446975658E-7</v>
      </c>
      <c r="F41" s="7">
        <f>_xlfn.NORM.DIST($C41,E$2,E$3,1)</f>
        <v>0.99999990035573683</v>
      </c>
      <c r="G41" s="7"/>
      <c r="H41" s="7">
        <f>_xlfn.NORM.DIST($C41,H$2,H$3,0)</f>
        <v>3.8021630758158199E-16</v>
      </c>
      <c r="I41" s="7">
        <f>_xlfn.NORM.DIST($C41,H$2,H$3,1)</f>
        <v>1</v>
      </c>
      <c r="J41" s="7"/>
      <c r="K41" s="7">
        <f>_xlfn.NORM.DIST($C41,K$2,K$3,0)</f>
        <v>2.3840882014648274E-3</v>
      </c>
      <c r="L41" s="7">
        <f>_xlfn.NORM.DIST($C41,K$2,K$3,1)</f>
        <v>0.99931286206208414</v>
      </c>
      <c r="M41" s="7"/>
      <c r="N41" s="7">
        <f>_xlfn.NORM.DIST($C41,N$2,N$3,0)</f>
        <v>0.10892608851627515</v>
      </c>
      <c r="O41" s="7">
        <f>_xlfn.NORM.DIST($C41,N$2,N$3,1)</f>
        <v>0.86433393905361755</v>
      </c>
      <c r="P41" s="7"/>
      <c r="Q41" s="7">
        <f>_xlfn.NORM.DIST($C41,Q$2,Q$3,0)</f>
        <v>6.6854288835828351E-125</v>
      </c>
      <c r="R41" s="7">
        <f>_xlfn.NORM.DIST($C41,Q$2,Q$3,1)</f>
        <v>1</v>
      </c>
    </row>
    <row r="42" spans="2:18">
      <c r="B42">
        <f t="shared" si="7"/>
        <v>38</v>
      </c>
      <c r="C42" s="4">
        <f t="shared" si="4"/>
        <v>5.4000000000000021</v>
      </c>
      <c r="E42" s="6">
        <f>_xlfn.NORM.DIST($C42,E$2,E$3,0)</f>
        <v>1.8573618445552733E-7</v>
      </c>
      <c r="F42" s="6">
        <f>_xlfn.NORM.DIST($C42,E$2,E$3,1)</f>
        <v>0.99999996667955149</v>
      </c>
      <c r="G42" s="6"/>
      <c r="H42" s="6">
        <f>_xlfn.NORM.DIST($C42,H$2,H$3,0)</f>
        <v>1.2191516259124489E-17</v>
      </c>
      <c r="I42" s="6">
        <f>_xlfn.NORM.DIST($C42,H$2,H$3,1)</f>
        <v>1</v>
      </c>
      <c r="J42" s="6"/>
      <c r="K42" s="6">
        <f>_xlfn.NORM.DIST($C42,K$2,K$3,0)</f>
        <v>1.23221916847301E-3</v>
      </c>
      <c r="L42" s="6">
        <f>_xlfn.NORM.DIST($C42,K$2,K$3,1)</f>
        <v>0.99966307073432314</v>
      </c>
      <c r="M42" s="6"/>
      <c r="N42" s="6">
        <f>_xlfn.NORM.DIST($C42,N$2,N$3,0)</f>
        <v>9.7093027491606351E-2</v>
      </c>
      <c r="O42" s="6">
        <f>_xlfn.NORM.DIST($C42,N$2,N$3,1)</f>
        <v>0.884930329778292</v>
      </c>
      <c r="P42" s="6"/>
      <c r="Q42" s="6">
        <f>_xlfn.NORM.DIST($C42,Q$2,Q$3,0)</f>
        <v>4.5551549574678845E-170</v>
      </c>
      <c r="R42" s="6">
        <f>_xlfn.NORM.DIST($C42,Q$2,Q$3,1)</f>
        <v>1</v>
      </c>
    </row>
    <row r="43" spans="2:18">
      <c r="B43">
        <f t="shared" si="7"/>
        <v>39</v>
      </c>
      <c r="C43" s="4">
        <f t="shared" si="4"/>
        <v>5.6000000000000023</v>
      </c>
      <c r="E43" s="6">
        <f>_xlfn.NORM.DIST($C43,E$2,E$3,0)</f>
        <v>6.1826205001657686E-8</v>
      </c>
      <c r="F43" s="6">
        <f>_xlfn.NORM.DIST($C43,E$2,E$3,1)</f>
        <v>0.99999998928240974</v>
      </c>
      <c r="G43" s="6"/>
      <c r="H43" s="6">
        <f>_xlfn.NORM.DIST($C43,H$2,H$3,0)</f>
        <v>3.3311760647596923E-19</v>
      </c>
      <c r="I43" s="6">
        <f>_xlfn.NORM.DIST($C43,H$2,H$3,1)</f>
        <v>1</v>
      </c>
      <c r="J43" s="6"/>
      <c r="K43" s="6">
        <f>_xlfn.NORM.DIST($C43,K$2,K$3,0)</f>
        <v>6.1190193011376702E-4</v>
      </c>
      <c r="L43" s="6">
        <f>_xlfn.NORM.DIST($C43,K$2,K$3,1)</f>
        <v>0.99984089140984245</v>
      </c>
      <c r="M43" s="6"/>
      <c r="N43" s="6">
        <f>_xlfn.NORM.DIST($C43,N$2,N$3,0)</f>
        <v>8.5684296023903553E-2</v>
      </c>
      <c r="O43" s="6">
        <f>_xlfn.NORM.DIST($C43,N$2,N$3,1)</f>
        <v>0.90319951541438992</v>
      </c>
      <c r="P43" s="6"/>
      <c r="Q43" s="6">
        <f>_xlfn.NORM.DIST($C43,Q$2,Q$3,0)</f>
        <v>3.4927325135127889E-222</v>
      </c>
      <c r="R43" s="6">
        <f>_xlfn.NORM.DIST($C43,Q$2,Q$3,1)</f>
        <v>1</v>
      </c>
    </row>
    <row r="44" spans="2:18">
      <c r="B44">
        <f t="shared" si="7"/>
        <v>40</v>
      </c>
      <c r="C44" s="4">
        <f t="shared" si="4"/>
        <v>5.8000000000000025</v>
      </c>
      <c r="E44" s="6">
        <f>_xlfn.NORM.DIST($C44,E$2,E$3,0)</f>
        <v>1.9773196406244391E-8</v>
      </c>
      <c r="F44" s="6">
        <f>_xlfn.NORM.DIST($C44,E$2,E$3,1)</f>
        <v>0.99999999668425399</v>
      </c>
      <c r="G44" s="6"/>
      <c r="H44" s="6">
        <f>_xlfn.NORM.DIST($C44,H$2,H$3,0)</f>
        <v>7.7562238634935362E-21</v>
      </c>
      <c r="I44" s="6">
        <f>_xlfn.NORM.DIST($C44,H$2,H$3,1)</f>
        <v>1</v>
      </c>
      <c r="J44" s="6"/>
      <c r="K44" s="6">
        <f>_xlfn.NORM.DIST($C44,K$2,K$3,0)</f>
        <v>2.919469257914574E-4</v>
      </c>
      <c r="L44" s="6">
        <f>_xlfn.NORM.DIST($C44,K$2,K$3,1)</f>
        <v>0.99992765195607491</v>
      </c>
      <c r="M44" s="6"/>
      <c r="N44" s="6">
        <f>_xlfn.NORM.DIST($C44,N$2,N$3,0)</f>
        <v>7.48637328178723E-2</v>
      </c>
      <c r="O44" s="6">
        <f>_xlfn.NORM.DIST($C44,N$2,N$3,1)</f>
        <v>0.91924334076622916</v>
      </c>
      <c r="P44" s="6"/>
      <c r="Q44" s="6">
        <f>_xlfn.NORM.DIST($C44,Q$2,Q$3,0)</f>
        <v>3.0138094352353074E-281</v>
      </c>
      <c r="R44" s="6">
        <f>_xlfn.NORM.DIST($C44,Q$2,Q$3,1)</f>
        <v>1</v>
      </c>
    </row>
    <row r="45" spans="2:18">
      <c r="B45">
        <f t="shared" si="7"/>
        <v>41</v>
      </c>
      <c r="C45" s="4">
        <f t="shared" si="4"/>
        <v>6.0000000000000027</v>
      </c>
      <c r="E45" s="6">
        <f>_xlfn.NORM.DIST($C45,E$2,E$3,0)</f>
        <v>6.0758828498231992E-9</v>
      </c>
      <c r="F45" s="6">
        <f>_xlfn.NORM.DIST($C45,E$2,E$3,1)</f>
        <v>0.9999999990134123</v>
      </c>
      <c r="G45" s="6"/>
      <c r="H45" s="6">
        <f>_xlfn.NORM.DIST($C45,H$2,H$3,0)</f>
        <v>1.5389197253411965E-22</v>
      </c>
      <c r="I45" s="6">
        <f>_xlfn.NORM.DIST($C45,H$2,H$3,1)</f>
        <v>1</v>
      </c>
      <c r="J45" s="6"/>
      <c r="K45" s="6">
        <f>_xlfn.NORM.DIST($C45,K$2,K$3,0)</f>
        <v>1.3383022576488393E-4</v>
      </c>
      <c r="L45" s="6">
        <f>_xlfn.NORM.DIST($C45,K$2,K$3,1)</f>
        <v>0.99996832875816688</v>
      </c>
      <c r="M45" s="6"/>
      <c r="N45" s="6">
        <f>_xlfn.NORM.DIST($C45,N$2,N$3,0)</f>
        <v>6.4758797832945733E-2</v>
      </c>
      <c r="O45" s="6">
        <f>_xlfn.NORM.DIST($C45,N$2,N$3,1)</f>
        <v>0.93319279873114214</v>
      </c>
      <c r="P45" s="6"/>
      <c r="Q45" s="6">
        <f>_xlfn.NORM.DIST($C45,Q$2,Q$3,0)</f>
        <v>0</v>
      </c>
      <c r="R45" s="6">
        <f>_xlfn.NORM.DIST($C45,Q$2,Q$3,1)</f>
        <v>1</v>
      </c>
    </row>
    <row r="46" spans="2:18">
      <c r="B46" s="2">
        <f t="shared" si="7"/>
        <v>42</v>
      </c>
      <c r="C46" s="5">
        <f t="shared" si="4"/>
        <v>6.2000000000000028</v>
      </c>
      <c r="D46" s="2"/>
      <c r="E46" s="7">
        <f>_xlfn.NORM.DIST($C46,E$2,E$3,0)</f>
        <v>1.793783907964054E-9</v>
      </c>
      <c r="F46" s="7">
        <f>_xlfn.NORM.DIST($C46,E$2,E$3,1)</f>
        <v>0.99999999971768416</v>
      </c>
      <c r="G46" s="7"/>
      <c r="H46" s="7">
        <f>_xlfn.NORM.DIST($C46,H$2,H$3,0)</f>
        <v>2.6019232398476779E-24</v>
      </c>
      <c r="I46" s="7">
        <f>_xlfn.NORM.DIST($C46,H$2,H$3,1)</f>
        <v>1</v>
      </c>
      <c r="J46" s="7"/>
      <c r="K46" s="7">
        <f>_xlfn.NORM.DIST($C46,K$2,K$3,0)</f>
        <v>5.8943067756539116E-5</v>
      </c>
      <c r="L46" s="7">
        <f>_xlfn.NORM.DIST($C46,K$2,K$3,1)</f>
        <v>0.9999866542509841</v>
      </c>
      <c r="M46" s="7"/>
      <c r="N46" s="7">
        <f>_xlfn.NORM.DIST($C46,N$2,N$3,0)</f>
        <v>5.5460417339727661E-2</v>
      </c>
      <c r="O46" s="7">
        <f>_xlfn.NORM.DIST($C46,N$2,N$3,1)</f>
        <v>0.94520070830044212</v>
      </c>
      <c r="P46" s="7"/>
      <c r="Q46" s="7">
        <f>_xlfn.NORM.DIST($C46,Q$2,Q$3,0)</f>
        <v>0</v>
      </c>
      <c r="R46" s="7">
        <f>_xlfn.NORM.DIST($C46,Q$2,Q$3,1)</f>
        <v>1</v>
      </c>
    </row>
    <row r="47" spans="2:18">
      <c r="B47">
        <f t="shared" si="2"/>
        <v>43</v>
      </c>
      <c r="C47" s="4">
        <f t="shared" si="4"/>
        <v>6.400000000000003</v>
      </c>
      <c r="E47" s="6">
        <f>_xlfn.NORM.DIST($C47,E$2,E$3,0)</f>
        <v>5.0881402816449665E-10</v>
      </c>
      <c r="F47" s="6">
        <f>_xlfn.NORM.DIST($C47,E$2,E$3,1)</f>
        <v>0.99999999992231148</v>
      </c>
      <c r="G47" s="6"/>
      <c r="H47" s="6">
        <f>_xlfn.NORM.DIST($C47,H$2,H$3,0)</f>
        <v>3.7487448046833798E-26</v>
      </c>
      <c r="I47" s="6">
        <f>_xlfn.NORM.DIST($C47,H$2,H$3,1)</f>
        <v>1</v>
      </c>
      <c r="J47" s="6"/>
      <c r="K47" s="6">
        <f>_xlfn.NORM.DIST($C47,K$2,K$3,0)</f>
        <v>2.494247129005322E-5</v>
      </c>
      <c r="L47" s="6">
        <f>_xlfn.NORM.DIST($C47,K$2,K$3,1)</f>
        <v>0.99999458745609227</v>
      </c>
      <c r="M47" s="6"/>
      <c r="N47" s="6">
        <f>_xlfn.NORM.DIST($C47,N$2,N$3,0)</f>
        <v>4.7024538688443349E-2</v>
      </c>
      <c r="O47" s="6">
        <f>_xlfn.NORM.DIST($C47,N$2,N$3,1)</f>
        <v>0.9554345372414571</v>
      </c>
      <c r="P47" s="6"/>
      <c r="Q47" s="6">
        <f>_xlfn.NORM.DIST($C47,Q$2,Q$3,0)</f>
        <v>0</v>
      </c>
      <c r="R47" s="6">
        <f>_xlfn.NORM.DIST($C47,Q$2,Q$3,1)</f>
        <v>1</v>
      </c>
    </row>
    <row r="48" spans="2:18">
      <c r="B48">
        <f t="shared" si="2"/>
        <v>44</v>
      </c>
      <c r="C48" s="4">
        <f t="shared" si="4"/>
        <v>6.6000000000000032</v>
      </c>
      <c r="E48" s="6">
        <f>_xlfn.NORM.DIST($C48,E$2,E$3,0)</f>
        <v>1.3866799941652826E-10</v>
      </c>
      <c r="F48" s="6">
        <f>_xlfn.NORM.DIST($C48,E$2,E$3,1)</f>
        <v>0.99999999997944211</v>
      </c>
      <c r="G48" s="6"/>
      <c r="H48" s="6">
        <f>_xlfn.NORM.DIST($C48,H$2,H$3,0)</f>
        <v>4.6024614176959508E-28</v>
      </c>
      <c r="I48" s="6">
        <f>_xlfn.NORM.DIST($C48,H$2,H$3,1)</f>
        <v>1</v>
      </c>
      <c r="J48" s="6"/>
      <c r="K48" s="6">
        <f>_xlfn.NORM.DIST($C48,K$2,K$3,0)</f>
        <v>1.0140852065486597E-5</v>
      </c>
      <c r="L48" s="6">
        <f>_xlfn.NORM.DIST($C48,K$2,K$3,1)</f>
        <v>0.9999978875452975</v>
      </c>
      <c r="M48" s="6"/>
      <c r="N48" s="6">
        <f>_xlfn.NORM.DIST($C48,N$2,N$3,0)</f>
        <v>3.9475079150446971E-2</v>
      </c>
      <c r="O48" s="6">
        <f>_xlfn.NORM.DIST($C48,N$2,N$3,1)</f>
        <v>0.96406968088707434</v>
      </c>
      <c r="P48" s="6"/>
      <c r="Q48" s="6">
        <f>_xlfn.NORM.DIST($C48,Q$2,Q$3,0)</f>
        <v>0</v>
      </c>
      <c r="R48" s="6">
        <f>_xlfn.NORM.DIST($C48,Q$2,Q$3,1)</f>
        <v>1</v>
      </c>
    </row>
    <row r="49" spans="2:18">
      <c r="B49">
        <f t="shared" si="2"/>
        <v>45</v>
      </c>
      <c r="C49" s="4">
        <f t="shared" si="4"/>
        <v>6.8000000000000034</v>
      </c>
      <c r="E49" s="6">
        <f>_xlfn.NORM.DIST($C49,E$2,E$3,0)</f>
        <v>3.6309615017917106E-11</v>
      </c>
      <c r="F49" s="6">
        <f>_xlfn.NORM.DIST($C49,E$2,E$3,1)</f>
        <v>0.99999999999476907</v>
      </c>
      <c r="G49" s="6"/>
      <c r="H49" s="6">
        <f>_xlfn.NORM.DIST($C49,H$2,H$3,0)</f>
        <v>4.8151222636782599E-30</v>
      </c>
      <c r="I49" s="6">
        <f>_xlfn.NORM.DIST($C49,H$2,H$3,1)</f>
        <v>1</v>
      </c>
      <c r="J49" s="6"/>
      <c r="K49" s="6">
        <f>_xlfn.NORM.DIST($C49,K$2,K$3,0)</f>
        <v>3.9612990910320118E-6</v>
      </c>
      <c r="L49" s="6">
        <f>_xlfn.NORM.DIST($C49,K$2,K$3,1)</f>
        <v>0.99999920667184805</v>
      </c>
      <c r="M49" s="6"/>
      <c r="N49" s="6">
        <f>_xlfn.NORM.DIST($C49,N$2,N$3,0)</f>
        <v>3.2807907387338194E-2</v>
      </c>
      <c r="O49" s="6">
        <f>_xlfn.NORM.DIST($C49,N$2,N$3,1)</f>
        <v>0.97128344018399837</v>
      </c>
      <c r="P49" s="6"/>
      <c r="Q49" s="6">
        <f>_xlfn.NORM.DIST($C49,Q$2,Q$3,0)</f>
        <v>0</v>
      </c>
      <c r="R49" s="6">
        <f>_xlfn.NORM.DIST($C49,Q$2,Q$3,1)</f>
        <v>1</v>
      </c>
    </row>
    <row r="50" spans="2:18">
      <c r="B50">
        <f t="shared" si="2"/>
        <v>46</v>
      </c>
      <c r="C50" s="4">
        <f t="shared" si="4"/>
        <v>7.0000000000000036</v>
      </c>
      <c r="E50" s="6">
        <f>_xlfn.NORM.DIST($C50,E$2,E$3,0)</f>
        <v>9.1347204083643658E-12</v>
      </c>
      <c r="F50" s="6">
        <f>_xlfn.NORM.DIST($C50,E$2,E$3,1)</f>
        <v>0.99999999999872013</v>
      </c>
      <c r="G50" s="6"/>
      <c r="H50" s="6">
        <f>_xlfn.NORM.DIST($C50,H$2,H$3,0)</f>
        <v>4.2927674713257547E-32</v>
      </c>
      <c r="I50" s="6">
        <f>_xlfn.NORM.DIST($C50,H$2,H$3,1)</f>
        <v>1</v>
      </c>
      <c r="J50" s="6"/>
      <c r="K50" s="6">
        <f>_xlfn.NORM.DIST($C50,K$2,K$3,0)</f>
        <v>1.4867195147342714E-6</v>
      </c>
      <c r="L50" s="6">
        <f>_xlfn.NORM.DIST($C50,K$2,K$3,1)</f>
        <v>0.99999971334842808</v>
      </c>
      <c r="M50" s="6"/>
      <c r="N50" s="6">
        <f>_xlfn.NORM.DIST($C50,N$2,N$3,0)</f>
        <v>2.6995483256593931E-2</v>
      </c>
      <c r="O50" s="6">
        <f>_xlfn.NORM.DIST($C50,N$2,N$3,1)</f>
        <v>0.9772498680518209</v>
      </c>
      <c r="P50" s="6"/>
      <c r="Q50" s="6">
        <f>_xlfn.NORM.DIST($C50,Q$2,Q$3,0)</f>
        <v>0</v>
      </c>
      <c r="R50" s="6">
        <f>_xlfn.NORM.DIST($C50,Q$2,Q$3,1)</f>
        <v>1</v>
      </c>
    </row>
    <row r="51" spans="2:18">
      <c r="B51">
        <f t="shared" si="2"/>
        <v>47</v>
      </c>
      <c r="C51" s="4">
        <f t="shared" si="4"/>
        <v>7.2000000000000037</v>
      </c>
      <c r="E51" s="6">
        <f>_xlfn.NORM.DIST($C51,E$2,E$3,0)</f>
        <v>2.2079899631370843E-12</v>
      </c>
      <c r="F51" s="6">
        <f>_xlfn.NORM.DIST($C51,E$2,E$3,1)</f>
        <v>0.99999999999969891</v>
      </c>
      <c r="G51" s="6"/>
      <c r="H51" s="6">
        <f>_xlfn.NORM.DIST($C51,H$2,H$3,0)</f>
        <v>3.2612214696790127E-34</v>
      </c>
      <c r="I51" s="6">
        <f>_xlfn.NORM.DIST($C51,H$2,H$3,1)</f>
        <v>1</v>
      </c>
      <c r="J51" s="6"/>
      <c r="K51" s="6">
        <f>_xlfn.NORM.DIST($C51,K$2,K$3,0)</f>
        <v>5.3610353446975192E-7</v>
      </c>
      <c r="L51" s="6">
        <f>_xlfn.NORM.DIST($C51,K$2,K$3,1)</f>
        <v>0.99999990035573683</v>
      </c>
      <c r="M51" s="6"/>
      <c r="N51" s="6">
        <f>_xlfn.NORM.DIST($C51,N$2,N$3,0)</f>
        <v>2.1991797990213509E-2</v>
      </c>
      <c r="O51" s="6">
        <f>_xlfn.NORM.DIST($C51,N$2,N$3,1)</f>
        <v>0.98213557943718355</v>
      </c>
      <c r="P51" s="6"/>
      <c r="Q51" s="6">
        <f>_xlfn.NORM.DIST($C51,Q$2,Q$3,0)</f>
        <v>0</v>
      </c>
      <c r="R51" s="6">
        <f>_xlfn.NORM.DIST($C51,Q$2,Q$3,1)</f>
        <v>1</v>
      </c>
    </row>
    <row r="52" spans="2:18">
      <c r="B52">
        <f t="shared" ref="B52:B54" si="8">B51+1</f>
        <v>48</v>
      </c>
      <c r="C52" s="4">
        <f t="shared" ref="C52:C54" si="9">C51+0.2</f>
        <v>7.4000000000000039</v>
      </c>
      <c r="E52" s="6">
        <f>_xlfn.NORM.DIST($C52,E$2,E$3,0)</f>
        <v>5.1277536367965357E-13</v>
      </c>
      <c r="F52" s="6">
        <f>_xlfn.NORM.DIST($C52,E$2,E$3,1)</f>
        <v>0.99999999999993194</v>
      </c>
      <c r="G52" s="6"/>
      <c r="H52" s="6">
        <f>_xlfn.NORM.DIST($C52,H$2,H$3,0)</f>
        <v>2.1112327004903678E-36</v>
      </c>
      <c r="I52" s="6">
        <f>_xlfn.NORM.DIST($C52,H$2,H$3,1)</f>
        <v>1</v>
      </c>
      <c r="J52" s="6"/>
      <c r="K52" s="6">
        <f>_xlfn.NORM.DIST($C52,K$2,K$3,0)</f>
        <v>1.8573618445552534E-7</v>
      </c>
      <c r="L52" s="6">
        <f>_xlfn.NORM.DIST($C52,K$2,K$3,1)</f>
        <v>0.99999996667955149</v>
      </c>
      <c r="M52" s="6"/>
      <c r="N52" s="6">
        <f>_xlfn.NORM.DIST($C52,N$2,N$3,0)</f>
        <v>1.7737296423115639E-2</v>
      </c>
      <c r="O52" s="6">
        <f>_xlfn.NORM.DIST($C52,N$2,N$3,1)</f>
        <v>0.98609655248650152</v>
      </c>
      <c r="P52" s="6"/>
      <c r="Q52" s="6">
        <f>_xlfn.NORM.DIST($C52,Q$2,Q$3,0)</f>
        <v>0</v>
      </c>
      <c r="R52" s="6">
        <f>_xlfn.NORM.DIST($C52,Q$2,Q$3,1)</f>
        <v>1</v>
      </c>
    </row>
    <row r="53" spans="2:18">
      <c r="B53">
        <f t="shared" si="8"/>
        <v>49</v>
      </c>
      <c r="C53" s="4">
        <f t="shared" si="9"/>
        <v>7.6000000000000041</v>
      </c>
      <c r="E53" s="6">
        <f>_xlfn.NORM.DIST($C53,E$2,E$3,0)</f>
        <v>1.1441564901801004E-13</v>
      </c>
      <c r="F53" s="6">
        <f>_xlfn.NORM.DIST($C53,E$2,E$3,1)</f>
        <v>0.99999999999998523</v>
      </c>
      <c r="G53" s="6"/>
      <c r="H53" s="6">
        <f>_xlfn.NORM.DIST($C53,H$2,H$3,0)</f>
        <v>1.1646751199471813E-38</v>
      </c>
      <c r="I53" s="6">
        <f>_xlfn.NORM.DIST($C53,H$2,H$3,1)</f>
        <v>1</v>
      </c>
      <c r="J53" s="6"/>
      <c r="K53" s="6">
        <f>_xlfn.NORM.DIST($C53,K$2,K$3,0)</f>
        <v>6.1826205001657024E-8</v>
      </c>
      <c r="L53" s="6">
        <f>_xlfn.NORM.DIST($C53,K$2,K$3,1)</f>
        <v>0.99999998928240974</v>
      </c>
      <c r="M53" s="6"/>
      <c r="N53" s="6">
        <f>_xlfn.NORM.DIST($C53,N$2,N$3,0)</f>
        <v>1.4163518870800518E-2</v>
      </c>
      <c r="O53" s="6">
        <f>_xlfn.NORM.DIST($C53,N$2,N$3,1)</f>
        <v>0.98927588997832427</v>
      </c>
      <c r="P53" s="6"/>
      <c r="Q53" s="6">
        <f>_xlfn.NORM.DIST($C53,Q$2,Q$3,0)</f>
        <v>0</v>
      </c>
      <c r="R53" s="6">
        <f>_xlfn.NORM.DIST($C53,Q$2,Q$3,1)</f>
        <v>1</v>
      </c>
    </row>
    <row r="54" spans="2:18">
      <c r="B54">
        <f t="shared" si="8"/>
        <v>50</v>
      </c>
      <c r="C54" s="4">
        <f t="shared" si="9"/>
        <v>7.8000000000000043</v>
      </c>
      <c r="E54" s="6">
        <f>_xlfn.NORM.DIST($C54,E$2,E$3,0)</f>
        <v>2.4528552856963453E-14</v>
      </c>
      <c r="F54" s="6">
        <f>_xlfn.NORM.DIST($C54,E$2,E$3,1)</f>
        <v>0.99999999999999689</v>
      </c>
      <c r="G54" s="6"/>
      <c r="H54" s="6">
        <f>_xlfn.NORM.DIST($C54,H$2,H$3,0)</f>
        <v>5.4750283847099164E-41</v>
      </c>
      <c r="I54" s="6">
        <f>_xlfn.NORM.DIST($C54,H$2,H$3,1)</f>
        <v>1</v>
      </c>
      <c r="J54" s="6"/>
      <c r="K54" s="6">
        <f>_xlfn.NORM.DIST($C54,K$2,K$3,0)</f>
        <v>1.9773196406244179E-8</v>
      </c>
      <c r="L54" s="6">
        <f>_xlfn.NORM.DIST($C54,K$2,K$3,1)</f>
        <v>0.99999999668425399</v>
      </c>
      <c r="M54" s="6"/>
      <c r="N54" s="6">
        <f>_xlfn.NORM.DIST($C54,N$2,N$3,0)</f>
        <v>1.1197265147421391E-2</v>
      </c>
      <c r="O54" s="6">
        <f>_xlfn.NORM.DIST($C54,N$2,N$3,1)</f>
        <v>0.99180246407540396</v>
      </c>
      <c r="P54" s="6"/>
      <c r="Q54" s="6">
        <f>_xlfn.NORM.DIST($C54,Q$2,Q$3,0)</f>
        <v>0</v>
      </c>
      <c r="R54" s="6">
        <f>_xlfn.NORM.DIST($C54,Q$2,Q$3,1)</f>
        <v>1</v>
      </c>
    </row>
    <row r="55" spans="2:18">
      <c r="B55">
        <f t="shared" ref="B55:B101" si="10">B54+1</f>
        <v>51</v>
      </c>
      <c r="C55" s="4">
        <f t="shared" ref="C55:C101" si="11">C54+0.2</f>
        <v>8.0000000000000036</v>
      </c>
      <c r="E55" s="6">
        <f>_xlfn.NORM.DIST($C55,E$2,E$3,0)</f>
        <v>5.0522710835367492E-15</v>
      </c>
      <c r="F55" s="6">
        <f>_xlfn.NORM.DIST($C55,E$2,E$3,1)</f>
        <v>0.99999999999999933</v>
      </c>
      <c r="G55" s="6"/>
      <c r="H55" s="6">
        <f>_xlfn.NORM.DIST($C55,H$2,H$3,0)</f>
        <v>2.1932131187777247E-43</v>
      </c>
      <c r="I55" s="6">
        <f>_xlfn.NORM.DIST($C55,H$2,H$3,1)</f>
        <v>1</v>
      </c>
      <c r="J55" s="6"/>
      <c r="K55" s="6">
        <f>_xlfn.NORM.DIST($C55,K$2,K$3,0)</f>
        <v>6.075882849823157E-9</v>
      </c>
      <c r="L55" s="6">
        <f>_xlfn.NORM.DIST($C55,K$2,K$3,1)</f>
        <v>0.9999999990134123</v>
      </c>
      <c r="M55" s="6"/>
      <c r="N55" s="6">
        <f>_xlfn.NORM.DIST($C55,N$2,N$3,0)</f>
        <v>8.7641502467842303E-3</v>
      </c>
      <c r="O55" s="6">
        <f>_xlfn.NORM.DIST($C55,N$2,N$3,1)</f>
        <v>0.99379033467422395</v>
      </c>
      <c r="P55" s="6"/>
      <c r="Q55" s="6">
        <f>_xlfn.NORM.DIST($C55,Q$2,Q$3,0)</f>
        <v>0</v>
      </c>
      <c r="R55" s="6">
        <f>_xlfn.NORM.DIST($C55,Q$2,Q$3,1)</f>
        <v>1</v>
      </c>
    </row>
    <row r="56" spans="2:18">
      <c r="B56">
        <f t="shared" si="10"/>
        <v>52</v>
      </c>
      <c r="C56" s="4">
        <f t="shared" si="11"/>
        <v>8.2000000000000028</v>
      </c>
      <c r="E56" s="6">
        <f>_xlfn.NORM.DIST($C56,E$2,E$3,0)</f>
        <v>9.9983787484968954E-16</v>
      </c>
      <c r="F56" s="6">
        <f>_xlfn.NORM.DIST($C56,E$2,E$3,1)</f>
        <v>0.99999999999999989</v>
      </c>
      <c r="G56" s="6"/>
      <c r="H56" s="6">
        <f>_xlfn.NORM.DIST($C56,H$2,H$3,0)</f>
        <v>7.4866611597694865E-46</v>
      </c>
      <c r="I56" s="6">
        <f>_xlfn.NORM.DIST($C56,H$2,H$3,1)</f>
        <v>1</v>
      </c>
      <c r="J56" s="6"/>
      <c r="K56" s="6">
        <f>_xlfn.NORM.DIST($C56,K$2,K$3,0)</f>
        <v>1.793783907964054E-9</v>
      </c>
      <c r="L56" s="6">
        <f>_xlfn.NORM.DIST($C56,K$2,K$3,1)</f>
        <v>0.99999999971768416</v>
      </c>
      <c r="M56" s="6"/>
      <c r="N56" s="6">
        <f>_xlfn.NORM.DIST($C56,N$2,N$3,0)</f>
        <v>6.791484616842783E-3</v>
      </c>
      <c r="O56" s="6">
        <f>_xlfn.NORM.DIST($C56,N$2,N$3,1)</f>
        <v>0.99533881197628127</v>
      </c>
      <c r="P56" s="6"/>
      <c r="Q56" s="6">
        <f>_xlfn.NORM.DIST($C56,Q$2,Q$3,0)</f>
        <v>0</v>
      </c>
      <c r="R56" s="6">
        <f>_xlfn.NORM.DIST($C56,Q$2,Q$3,1)</f>
        <v>1</v>
      </c>
    </row>
    <row r="57" spans="2:18">
      <c r="B57">
        <f t="shared" si="10"/>
        <v>53</v>
      </c>
      <c r="C57" s="4">
        <f t="shared" si="11"/>
        <v>8.4000000000000021</v>
      </c>
      <c r="E57" s="6">
        <f>_xlfn.NORM.DIST($C57,E$2,E$3,0)</f>
        <v>1.9010815379079371E-16</v>
      </c>
      <c r="F57" s="6">
        <f>_xlfn.NORM.DIST($C57,E$2,E$3,1)</f>
        <v>1</v>
      </c>
      <c r="G57" s="6"/>
      <c r="H57" s="6">
        <f>_xlfn.NORM.DIST($C57,H$2,H$3,0)</f>
        <v>2.1777519106553194E-48</v>
      </c>
      <c r="I57" s="6">
        <f>_xlfn.NORM.DIST($C57,H$2,H$3,1)</f>
        <v>1</v>
      </c>
      <c r="J57" s="6"/>
      <c r="K57" s="6">
        <f>_xlfn.NORM.DIST($C57,K$2,K$3,0)</f>
        <v>5.0881402816449841E-10</v>
      </c>
      <c r="L57" s="6">
        <f>_xlfn.NORM.DIST($C57,K$2,K$3,1)</f>
        <v>0.99999999992231148</v>
      </c>
      <c r="M57" s="6"/>
      <c r="N57" s="6">
        <f>_xlfn.NORM.DIST($C57,N$2,N$3,0)</f>
        <v>5.2104674072112837E-3</v>
      </c>
      <c r="O57" s="6">
        <f>_xlfn.NORM.DIST($C57,N$2,N$3,1)</f>
        <v>0.99653302619695938</v>
      </c>
      <c r="P57" s="6"/>
      <c r="Q57" s="6">
        <f>_xlfn.NORM.DIST($C57,Q$2,Q$3,0)</f>
        <v>0</v>
      </c>
      <c r="R57" s="6">
        <f>_xlfn.NORM.DIST($C57,Q$2,Q$3,1)</f>
        <v>1</v>
      </c>
    </row>
    <row r="58" spans="2:18">
      <c r="B58">
        <f t="shared" si="10"/>
        <v>54</v>
      </c>
      <c r="C58" s="4">
        <f t="shared" si="11"/>
        <v>8.6000000000000014</v>
      </c>
      <c r="E58" s="6">
        <f>_xlfn.NORM.DIST($C58,E$2,E$3,0)</f>
        <v>3.4729627485661583E-17</v>
      </c>
      <c r="F58" s="6">
        <f>_xlfn.NORM.DIST($C58,E$2,E$3,1)</f>
        <v>1</v>
      </c>
      <c r="G58" s="6"/>
      <c r="H58" s="6">
        <f>_xlfn.NORM.DIST($C58,H$2,H$3,0)</f>
        <v>5.3981072887763471E-51</v>
      </c>
      <c r="I58" s="6">
        <f>_xlfn.NORM.DIST($C58,H$2,H$3,1)</f>
        <v>1</v>
      </c>
      <c r="J58" s="6"/>
      <c r="K58" s="6">
        <f>_xlfn.NORM.DIST($C58,K$2,K$3,0)</f>
        <v>1.3866799941653025E-10</v>
      </c>
      <c r="L58" s="6">
        <f>_xlfn.NORM.DIST($C58,K$2,K$3,1)</f>
        <v>0.99999999997944211</v>
      </c>
      <c r="M58" s="6"/>
      <c r="N58" s="6">
        <f>_xlfn.NORM.DIST($C58,N$2,N$3,0)</f>
        <v>3.957725791489973E-3</v>
      </c>
      <c r="O58" s="6">
        <f>_xlfn.NORM.DIST($C58,N$2,N$3,1)</f>
        <v>0.99744486966957202</v>
      </c>
      <c r="P58" s="6"/>
      <c r="Q58" s="6">
        <f>_xlfn.NORM.DIST($C58,Q$2,Q$3,0)</f>
        <v>0</v>
      </c>
      <c r="R58" s="6">
        <f>_xlfn.NORM.DIST($C58,Q$2,Q$3,1)</f>
        <v>1</v>
      </c>
    </row>
    <row r="59" spans="2:18">
      <c r="B59">
        <f t="shared" si="10"/>
        <v>55</v>
      </c>
      <c r="C59" s="4">
        <f t="shared" si="11"/>
        <v>8.8000000000000007</v>
      </c>
      <c r="E59" s="6">
        <f>_xlfn.NORM.DIST($C59,E$2,E$3,0)</f>
        <v>6.095758129562418E-18</v>
      </c>
      <c r="F59" s="6">
        <f>_xlfn.NORM.DIST($C59,E$2,E$3,1)</f>
        <v>1</v>
      </c>
      <c r="G59" s="6"/>
      <c r="H59" s="6">
        <f>_xlfn.NORM.DIST($C59,H$2,H$3,0)</f>
        <v>1.1402169781882251E-53</v>
      </c>
      <c r="I59" s="6">
        <f>_xlfn.NORM.DIST($C59,H$2,H$3,1)</f>
        <v>1</v>
      </c>
      <c r="J59" s="6"/>
      <c r="K59" s="6">
        <f>_xlfn.NORM.DIST($C59,K$2,K$3,0)</f>
        <v>3.6309615017917752E-11</v>
      </c>
      <c r="L59" s="6">
        <f>_xlfn.NORM.DIST($C59,K$2,K$3,1)</f>
        <v>0.99999999999476907</v>
      </c>
      <c r="M59" s="6"/>
      <c r="N59" s="6">
        <f>_xlfn.NORM.DIST($C59,N$2,N$3,0)</f>
        <v>2.9762662098879243E-3</v>
      </c>
      <c r="O59" s="6">
        <f>_xlfn.NORM.DIST($C59,N$2,N$3,1)</f>
        <v>0.99813418669961596</v>
      </c>
      <c r="P59" s="6"/>
      <c r="Q59" s="6">
        <f>_xlfn.NORM.DIST($C59,Q$2,Q$3,0)</f>
        <v>0</v>
      </c>
      <c r="R59" s="6">
        <f>_xlfn.NORM.DIST($C59,Q$2,Q$3,1)</f>
        <v>1</v>
      </c>
    </row>
    <row r="60" spans="2:18">
      <c r="B60">
        <f t="shared" si="10"/>
        <v>56</v>
      </c>
      <c r="C60" s="4">
        <f t="shared" si="11"/>
        <v>9</v>
      </c>
      <c r="E60" s="6">
        <f>_xlfn.NORM.DIST($C60,E$2,E$3,0)</f>
        <v>1.0279773571668917E-18</v>
      </c>
      <c r="F60" s="6">
        <f>_xlfn.NORM.DIST($C60,E$2,E$3,1)</f>
        <v>1</v>
      </c>
      <c r="G60" s="6"/>
      <c r="H60" s="6">
        <f>_xlfn.NORM.DIST($C60,H$2,H$3,0)</f>
        <v>2.0523261455838072E-56</v>
      </c>
      <c r="I60" s="6">
        <f>_xlfn.NORM.DIST($C60,H$2,H$3,1)</f>
        <v>1</v>
      </c>
      <c r="J60" s="6"/>
      <c r="K60" s="6">
        <f>_xlfn.NORM.DIST($C60,K$2,K$3,0)</f>
        <v>9.1347204083645936E-12</v>
      </c>
      <c r="L60" s="6">
        <f>_xlfn.NORM.DIST($C60,K$2,K$3,1)</f>
        <v>0.99999999999872013</v>
      </c>
      <c r="M60" s="6"/>
      <c r="N60" s="6">
        <f>_xlfn.NORM.DIST($C60,N$2,N$3,0)</f>
        <v>2.2159242059690038E-3</v>
      </c>
      <c r="O60" s="6">
        <f>_xlfn.NORM.DIST($C60,N$2,N$3,1)</f>
        <v>0.9986501019683699</v>
      </c>
      <c r="P60" s="6"/>
      <c r="Q60" s="6">
        <f>_xlfn.NORM.DIST($C60,Q$2,Q$3,0)</f>
        <v>0</v>
      </c>
      <c r="R60" s="6">
        <f>_xlfn.NORM.DIST($C60,Q$2,Q$3,1)</f>
        <v>1</v>
      </c>
    </row>
    <row r="61" spans="2:18">
      <c r="B61">
        <f t="shared" si="10"/>
        <v>57</v>
      </c>
      <c r="C61" s="4">
        <f t="shared" si="11"/>
        <v>9.1999999999999993</v>
      </c>
      <c r="E61" s="6">
        <f>_xlfn.NORM.DIST($C61,E$2,E$3,0)</f>
        <v>1.665588032379929E-19</v>
      </c>
      <c r="F61" s="6">
        <f>_xlfn.NORM.DIST($C61,E$2,E$3,1)</f>
        <v>1</v>
      </c>
      <c r="G61" s="6"/>
      <c r="H61" s="6">
        <f>_xlfn.NORM.DIST($C61,H$2,H$3,0)</f>
        <v>3.1478797595532899E-59</v>
      </c>
      <c r="I61" s="6">
        <f>_xlfn.NORM.DIST($C61,H$2,H$3,1)</f>
        <v>1</v>
      </c>
      <c r="J61" s="6"/>
      <c r="K61" s="6">
        <f>_xlfn.NORM.DIST($C61,K$2,K$3,0)</f>
        <v>2.207989963137155E-12</v>
      </c>
      <c r="L61" s="6">
        <f>_xlfn.NORM.DIST($C61,K$2,K$3,1)</f>
        <v>0.99999999999969891</v>
      </c>
      <c r="M61" s="6"/>
      <c r="N61" s="6">
        <f>_xlfn.NORM.DIST($C61,N$2,N$3,0)</f>
        <v>1.6334095280999624E-3</v>
      </c>
      <c r="O61" s="6">
        <f>_xlfn.NORM.DIST($C61,N$2,N$3,1)</f>
        <v>0.99903239678678168</v>
      </c>
      <c r="P61" s="6"/>
      <c r="Q61" s="6">
        <f>_xlfn.NORM.DIST($C61,Q$2,Q$3,0)</f>
        <v>0</v>
      </c>
      <c r="R61" s="6">
        <f>_xlfn.NORM.DIST($C61,Q$2,Q$3,1)</f>
        <v>1</v>
      </c>
    </row>
    <row r="62" spans="2:18">
      <c r="B62">
        <f t="shared" si="10"/>
        <v>58</v>
      </c>
      <c r="C62" s="4">
        <f t="shared" si="11"/>
        <v>9.3999999999999986</v>
      </c>
      <c r="E62" s="6">
        <f>_xlfn.NORM.DIST($C62,E$2,E$3,0)</f>
        <v>2.5928647011004261E-20</v>
      </c>
      <c r="F62" s="6">
        <f>_xlfn.NORM.DIST($C62,E$2,E$3,1)</f>
        <v>1</v>
      </c>
      <c r="G62" s="6"/>
      <c r="H62" s="6">
        <f>_xlfn.NORM.DIST($C62,H$2,H$3,0)</f>
        <v>4.1143646060574583E-62</v>
      </c>
      <c r="I62" s="6">
        <f>_xlfn.NORM.DIST($C62,H$2,H$3,1)</f>
        <v>1</v>
      </c>
      <c r="J62" s="6"/>
      <c r="K62" s="6">
        <f>_xlfn.NORM.DIST($C62,K$2,K$3,0)</f>
        <v>5.1277536367967356E-13</v>
      </c>
      <c r="L62" s="6">
        <f>_xlfn.NORM.DIST($C62,K$2,K$3,1)</f>
        <v>0.99999999999993194</v>
      </c>
      <c r="M62" s="6"/>
      <c r="N62" s="6">
        <f>_xlfn.NORM.DIST($C62,N$2,N$3,0)</f>
        <v>1.1920441007324243E-3</v>
      </c>
      <c r="O62" s="6">
        <f>_xlfn.NORM.DIST($C62,N$2,N$3,1)</f>
        <v>0.99931286206208414</v>
      </c>
      <c r="P62" s="6"/>
      <c r="Q62" s="6">
        <f>_xlfn.NORM.DIST($C62,Q$2,Q$3,0)</f>
        <v>0</v>
      </c>
      <c r="R62" s="6">
        <f>_xlfn.NORM.DIST($C62,Q$2,Q$3,1)</f>
        <v>1</v>
      </c>
    </row>
    <row r="63" spans="2:18">
      <c r="B63">
        <f t="shared" si="10"/>
        <v>59</v>
      </c>
      <c r="C63" s="4">
        <f t="shared" si="11"/>
        <v>9.5999999999999979</v>
      </c>
      <c r="E63" s="6">
        <f>_xlfn.NORM.DIST($C63,E$2,E$3,0)</f>
        <v>3.8781119317470434E-21</v>
      </c>
      <c r="F63" s="6">
        <f>_xlfn.NORM.DIST($C63,E$2,E$3,1)</f>
        <v>1</v>
      </c>
      <c r="G63" s="6"/>
      <c r="H63" s="6">
        <f>_xlfn.NORM.DIST($C63,H$2,H$3,0)</f>
        <v>4.5824770473991491E-65</v>
      </c>
      <c r="I63" s="6">
        <f>_xlfn.NORM.DIST($C63,H$2,H$3,1)</f>
        <v>1</v>
      </c>
      <c r="J63" s="6"/>
      <c r="K63" s="6">
        <f>_xlfn.NORM.DIST($C63,K$2,K$3,0)</f>
        <v>1.1441564901801534E-13</v>
      </c>
      <c r="L63" s="6">
        <f>_xlfn.NORM.DIST($C63,K$2,K$3,1)</f>
        <v>0.99999999999998523</v>
      </c>
      <c r="M63" s="6"/>
      <c r="N63" s="6">
        <f>_xlfn.NORM.DIST($C63,N$2,N$3,0)</f>
        <v>8.61284469526843E-4</v>
      </c>
      <c r="O63" s="6">
        <f>_xlfn.NORM.DIST($C63,N$2,N$3,1)</f>
        <v>0.99951657585761622</v>
      </c>
      <c r="P63" s="6"/>
      <c r="Q63" s="6">
        <f>_xlfn.NORM.DIST($C63,Q$2,Q$3,0)</f>
        <v>0</v>
      </c>
      <c r="R63" s="6">
        <f>_xlfn.NORM.DIST($C63,Q$2,Q$3,1)</f>
        <v>1</v>
      </c>
    </row>
    <row r="64" spans="2:18">
      <c r="B64">
        <f t="shared" si="10"/>
        <v>60</v>
      </c>
      <c r="C64" s="4">
        <f t="shared" si="11"/>
        <v>9.7999999999999972</v>
      </c>
      <c r="E64" s="6">
        <f>_xlfn.NORM.DIST($C64,E$2,E$3,0)</f>
        <v>5.5730000227208887E-22</v>
      </c>
      <c r="F64" s="6">
        <f>_xlfn.NORM.DIST($C64,E$2,E$3,1)</f>
        <v>1</v>
      </c>
      <c r="G64" s="6"/>
      <c r="H64" s="6">
        <f>_xlfn.NORM.DIST($C64,H$2,H$3,0)</f>
        <v>4.3492132685987929E-68</v>
      </c>
      <c r="I64" s="6">
        <f>_xlfn.NORM.DIST($C64,H$2,H$3,1)</f>
        <v>1</v>
      </c>
      <c r="J64" s="6"/>
      <c r="K64" s="6">
        <f>_xlfn.NORM.DIST($C64,K$2,K$3,0)</f>
        <v>2.4528552856964847E-14</v>
      </c>
      <c r="L64" s="6">
        <f>_xlfn.NORM.DIST($C64,K$2,K$3,1)</f>
        <v>0.99999999999999689</v>
      </c>
      <c r="M64" s="6"/>
      <c r="N64" s="6">
        <f>_xlfn.NORM.DIST($C64,N$2,N$3,0)</f>
        <v>6.1610958423651268E-4</v>
      </c>
      <c r="O64" s="6">
        <f>_xlfn.NORM.DIST($C64,N$2,N$3,1)</f>
        <v>0.99966307073432314</v>
      </c>
      <c r="P64" s="6"/>
      <c r="Q64" s="6">
        <f>_xlfn.NORM.DIST($C64,Q$2,Q$3,0)</f>
        <v>0</v>
      </c>
      <c r="R64" s="6">
        <f>_xlfn.NORM.DIST($C64,Q$2,Q$3,1)</f>
        <v>1</v>
      </c>
    </row>
    <row r="65" spans="2:18">
      <c r="B65">
        <f t="shared" si="10"/>
        <v>61</v>
      </c>
      <c r="C65" s="4">
        <f t="shared" si="11"/>
        <v>9.9999999999999964</v>
      </c>
      <c r="E65" s="6">
        <f>_xlfn.NORM.DIST($C65,E$2,E$3,0)</f>
        <v>7.6945986267066927E-23</v>
      </c>
      <c r="F65" s="6">
        <f>_xlfn.NORM.DIST($C65,E$2,E$3,1)</f>
        <v>1</v>
      </c>
      <c r="G65" s="6"/>
      <c r="H65" s="6">
        <f>_xlfn.NORM.DIST($C65,H$2,H$3,0)</f>
        <v>3.5174990851906076E-71</v>
      </c>
      <c r="I65" s="6">
        <f>_xlfn.NORM.DIST($C65,H$2,H$3,1)</f>
        <v>1</v>
      </c>
      <c r="J65" s="6"/>
      <c r="K65" s="6">
        <f>_xlfn.NORM.DIST($C65,K$2,K$3,0)</f>
        <v>5.0522710835370363E-15</v>
      </c>
      <c r="L65" s="6">
        <f>_xlfn.NORM.DIST($C65,K$2,K$3,1)</f>
        <v>0.99999999999999933</v>
      </c>
      <c r="M65" s="6"/>
      <c r="N65" s="6">
        <f>_xlfn.NORM.DIST($C65,N$2,N$3,0)</f>
        <v>4.3634134752288273E-4</v>
      </c>
      <c r="O65" s="6">
        <f>_xlfn.NORM.DIST($C65,N$2,N$3,1)</f>
        <v>0.99976737092096446</v>
      </c>
      <c r="P65" s="6"/>
      <c r="Q65" s="6">
        <f>_xlfn.NORM.DIST($C65,Q$2,Q$3,0)</f>
        <v>0</v>
      </c>
      <c r="R65" s="6">
        <f>_xlfn.NORM.DIST($C65,Q$2,Q$3,1)</f>
        <v>1</v>
      </c>
    </row>
    <row r="66" spans="2:18">
      <c r="B66">
        <f t="shared" si="10"/>
        <v>62</v>
      </c>
      <c r="C66" s="4">
        <f t="shared" si="11"/>
        <v>10.199999999999996</v>
      </c>
      <c r="E66" s="6">
        <f>_xlfn.NORM.DIST($C66,E$2,E$3,0)</f>
        <v>1.0207305594306536E-23</v>
      </c>
      <c r="F66" s="6">
        <f>_xlfn.NORM.DIST($C66,E$2,E$3,1)</f>
        <v>1</v>
      </c>
      <c r="G66" s="6"/>
      <c r="H66" s="6">
        <f>_xlfn.NORM.DIST($C66,H$2,H$3,0)</f>
        <v>2.4242095898161086E-74</v>
      </c>
      <c r="I66" s="6">
        <f>_xlfn.NORM.DIST($C66,H$2,H$3,1)</f>
        <v>1</v>
      </c>
      <c r="J66" s="6"/>
      <c r="K66" s="6">
        <f>_xlfn.NORM.DIST($C66,K$2,K$3,0)</f>
        <v>9.9983787484975343E-16</v>
      </c>
      <c r="L66" s="6">
        <f>_xlfn.NORM.DIST($C66,K$2,K$3,1)</f>
        <v>0.99999999999999989</v>
      </c>
      <c r="M66" s="6"/>
      <c r="N66" s="6">
        <f>_xlfn.NORM.DIST($C66,N$2,N$3,0)</f>
        <v>3.0595096505688844E-4</v>
      </c>
      <c r="O66" s="6">
        <f>_xlfn.NORM.DIST($C66,N$2,N$3,1)</f>
        <v>0.99984089140984245</v>
      </c>
      <c r="P66" s="6"/>
      <c r="Q66" s="6">
        <f>_xlfn.NORM.DIST($C66,Q$2,Q$3,0)</f>
        <v>0</v>
      </c>
      <c r="R66" s="6">
        <f>_xlfn.NORM.DIST($C66,Q$2,Q$3,1)</f>
        <v>1</v>
      </c>
    </row>
    <row r="67" spans="2:18">
      <c r="B67">
        <f t="shared" si="10"/>
        <v>63</v>
      </c>
      <c r="C67" s="4">
        <f t="shared" si="11"/>
        <v>10.399999999999995</v>
      </c>
      <c r="E67" s="6">
        <f>_xlfn.NORM.DIST($C67,E$2,E$3,0)</f>
        <v>1.300961619923987E-24</v>
      </c>
      <c r="F67" s="6">
        <f>_xlfn.NORM.DIST($C67,E$2,E$3,1)</f>
        <v>1</v>
      </c>
      <c r="G67" s="6"/>
      <c r="H67" s="6">
        <f>_xlfn.NORM.DIST($C67,H$2,H$3,0)</f>
        <v>1.4237024078480828E-77</v>
      </c>
      <c r="I67" s="6">
        <f>_xlfn.NORM.DIST($C67,H$2,H$3,1)</f>
        <v>1</v>
      </c>
      <c r="J67" s="6"/>
      <c r="K67" s="6">
        <f>_xlfn.NORM.DIST($C67,K$2,K$3,0)</f>
        <v>1.9010815379080448E-16</v>
      </c>
      <c r="L67" s="6">
        <f>_xlfn.NORM.DIST($C67,K$2,K$3,1)</f>
        <v>1</v>
      </c>
      <c r="M67" s="6"/>
      <c r="N67" s="6">
        <f>_xlfn.NORM.DIST($C67,N$2,N$3,0)</f>
        <v>2.123901352753778E-4</v>
      </c>
      <c r="O67" s="6">
        <f>_xlfn.NORM.DIST($C67,N$2,N$3,1)</f>
        <v>0.99989220026652259</v>
      </c>
      <c r="P67" s="6"/>
      <c r="Q67" s="6">
        <f>_xlfn.NORM.DIST($C67,Q$2,Q$3,0)</f>
        <v>0</v>
      </c>
      <c r="R67" s="6">
        <f>_xlfn.NORM.DIST($C67,Q$2,Q$3,1)</f>
        <v>1</v>
      </c>
    </row>
    <row r="68" spans="2:18">
      <c r="B68">
        <f t="shared" si="10"/>
        <v>64</v>
      </c>
      <c r="C68" s="4">
        <f t="shared" si="11"/>
        <v>10.599999999999994</v>
      </c>
      <c r="E68" s="6">
        <f>_xlfn.NORM.DIST($C68,E$2,E$3,0)</f>
        <v>1.5931111327010572E-25</v>
      </c>
      <c r="F68" s="6">
        <f>_xlfn.NORM.DIST($C68,E$2,E$3,1)</f>
        <v>1</v>
      </c>
      <c r="G68" s="6"/>
      <c r="H68" s="6">
        <f>_xlfn.NORM.DIST($C68,H$2,H$3,0)</f>
        <v>7.1249391080042598E-81</v>
      </c>
      <c r="I68" s="6">
        <f>_xlfn.NORM.DIST($C68,H$2,H$3,1)</f>
        <v>1</v>
      </c>
      <c r="J68" s="6"/>
      <c r="K68" s="6">
        <f>_xlfn.NORM.DIST($C68,K$2,K$3,0)</f>
        <v>3.4729627485663561E-17</v>
      </c>
      <c r="L68" s="6">
        <f>_xlfn.NORM.DIST($C68,K$2,K$3,1)</f>
        <v>1</v>
      </c>
      <c r="M68" s="6"/>
      <c r="N68" s="6">
        <f>_xlfn.NORM.DIST($C68,N$2,N$3,0)</f>
        <v>1.4597346289573171E-4</v>
      </c>
      <c r="O68" s="6">
        <f>_xlfn.NORM.DIST($C68,N$2,N$3,1)</f>
        <v>0.99992765195607491</v>
      </c>
      <c r="P68" s="6"/>
      <c r="Q68" s="6">
        <f>_xlfn.NORM.DIST($C68,Q$2,Q$3,0)</f>
        <v>0</v>
      </c>
      <c r="R68" s="6">
        <f>_xlfn.NORM.DIST($C68,Q$2,Q$3,1)</f>
        <v>1</v>
      </c>
    </row>
    <row r="69" spans="2:18">
      <c r="B69">
        <f t="shared" si="10"/>
        <v>65</v>
      </c>
      <c r="C69" s="4">
        <f t="shared" si="11"/>
        <v>10.799999999999994</v>
      </c>
      <c r="E69" s="6">
        <f>_xlfn.NORM.DIST($C69,E$2,E$3,0)</f>
        <v>1.874372402341943E-26</v>
      </c>
      <c r="F69" s="6">
        <f>_xlfn.NORM.DIST($C69,E$2,E$3,1)</f>
        <v>1</v>
      </c>
      <c r="G69" s="6"/>
      <c r="H69" s="6">
        <f>_xlfn.NORM.DIST($C69,H$2,H$3,0)</f>
        <v>3.0384771695931025E-84</v>
      </c>
      <c r="I69" s="6">
        <f>_xlfn.NORM.DIST($C69,H$2,H$3,1)</f>
        <v>1</v>
      </c>
      <c r="J69" s="6"/>
      <c r="K69" s="6">
        <f>_xlfn.NORM.DIST($C69,K$2,K$3,0)</f>
        <v>6.0957581295628079E-18</v>
      </c>
      <c r="L69" s="6">
        <f>_xlfn.NORM.DIST($C69,K$2,K$3,1)</f>
        <v>1</v>
      </c>
      <c r="M69" s="6"/>
      <c r="N69" s="6">
        <f>_xlfn.NORM.DIST($C69,N$2,N$3,0)</f>
        <v>9.9327735696387592E-5</v>
      </c>
      <c r="O69" s="6">
        <f>_xlfn.NORM.DIST($C69,N$2,N$3,1)</f>
        <v>0.99995190365598241</v>
      </c>
      <c r="P69" s="6"/>
      <c r="Q69" s="6">
        <f>_xlfn.NORM.DIST($C69,Q$2,Q$3,0)</f>
        <v>0</v>
      </c>
      <c r="R69" s="6">
        <f>_xlfn.NORM.DIST($C69,Q$2,Q$3,1)</f>
        <v>1</v>
      </c>
    </row>
    <row r="70" spans="2:18">
      <c r="B70">
        <f t="shared" si="10"/>
        <v>66</v>
      </c>
      <c r="C70" s="4">
        <f t="shared" si="11"/>
        <v>10.999999999999993</v>
      </c>
      <c r="E70" s="6">
        <f>_xlfn.NORM.DIST($C70,E$2,E$3,0)</f>
        <v>2.1188192535095195E-27</v>
      </c>
      <c r="F70" s="6">
        <f>_xlfn.NORM.DIST($C70,E$2,E$3,1)</f>
        <v>1</v>
      </c>
      <c r="G70" s="6"/>
      <c r="H70" s="6">
        <f>_xlfn.NORM.DIST($C70,H$2,H$3,0)</f>
        <v>1.1041896724322666E-87</v>
      </c>
      <c r="I70" s="6">
        <f>_xlfn.NORM.DIST($C70,H$2,H$3,1)</f>
        <v>1</v>
      </c>
      <c r="J70" s="6"/>
      <c r="K70" s="6">
        <f>_xlfn.NORM.DIST($C70,K$2,K$3,0)</f>
        <v>1.0279773571669573E-18</v>
      </c>
      <c r="L70" s="6">
        <f>_xlfn.NORM.DIST($C70,K$2,K$3,1)</f>
        <v>1</v>
      </c>
      <c r="M70" s="6"/>
      <c r="N70" s="6">
        <f>_xlfn.NORM.DIST($C70,N$2,N$3,0)</f>
        <v>6.6915112882443632E-5</v>
      </c>
      <c r="O70" s="6">
        <f>_xlfn.NORM.DIST($C70,N$2,N$3,1)</f>
        <v>0.99996832875816688</v>
      </c>
      <c r="P70" s="6"/>
      <c r="Q70" s="6">
        <f>_xlfn.NORM.DIST($C70,Q$2,Q$3,0)</f>
        <v>0</v>
      </c>
      <c r="R70" s="6">
        <f>_xlfn.NORM.DIST($C70,Q$2,Q$3,1)</f>
        <v>1</v>
      </c>
    </row>
    <row r="71" spans="2:18">
      <c r="B71">
        <f t="shared" si="10"/>
        <v>67</v>
      </c>
      <c r="C71" s="4">
        <f t="shared" si="11"/>
        <v>11.199999999999992</v>
      </c>
      <c r="E71" s="6">
        <f>_xlfn.NORM.DIST($C71,E$2,E$3,0)</f>
        <v>2.301230708848335E-28</v>
      </c>
      <c r="F71" s="6">
        <f>_xlfn.NORM.DIST($C71,E$2,E$3,1)</f>
        <v>1</v>
      </c>
      <c r="G71" s="6"/>
      <c r="H71" s="6">
        <f>_xlfn.NORM.DIST($C71,H$2,H$3,0)</f>
        <v>3.4193555916066886E-91</v>
      </c>
      <c r="I71" s="6">
        <f>_xlfn.NORM.DIST($C71,H$2,H$3,1)</f>
        <v>1</v>
      </c>
      <c r="J71" s="6"/>
      <c r="K71" s="6">
        <f>_xlfn.NORM.DIST($C71,K$2,K$3,0)</f>
        <v>1.6655880323800356E-19</v>
      </c>
      <c r="L71" s="6">
        <f>_xlfn.NORM.DIST($C71,K$2,K$3,1)</f>
        <v>1</v>
      </c>
      <c r="M71" s="6"/>
      <c r="N71" s="6">
        <f>_xlfn.NORM.DIST($C71,N$2,N$3,0)</f>
        <v>4.4630828588567175E-5</v>
      </c>
      <c r="O71" s="6">
        <f>_xlfn.NORM.DIST($C71,N$2,N$3,1)</f>
        <v>0.9999793424930874</v>
      </c>
      <c r="P71" s="6"/>
      <c r="Q71" s="6">
        <f>_xlfn.NORM.DIST($C71,Q$2,Q$3,0)</f>
        <v>0</v>
      </c>
      <c r="R71" s="6">
        <f>_xlfn.NORM.DIST($C71,Q$2,Q$3,1)</f>
        <v>1</v>
      </c>
    </row>
    <row r="72" spans="2:18">
      <c r="B72">
        <f t="shared" si="10"/>
        <v>68</v>
      </c>
      <c r="C72" s="4">
        <f t="shared" si="11"/>
        <v>11.399999999999991</v>
      </c>
      <c r="E72" s="6">
        <f>_xlfn.NORM.DIST($C72,E$2,E$3,0)</f>
        <v>2.4013454000087747E-29</v>
      </c>
      <c r="F72" s="6">
        <f>_xlfn.NORM.DIST($C72,E$2,E$3,1)</f>
        <v>1</v>
      </c>
      <c r="G72" s="6"/>
      <c r="H72" s="6">
        <f>_xlfn.NORM.DIST($C72,H$2,H$3,0)</f>
        <v>9.0231408390994167E-95</v>
      </c>
      <c r="I72" s="6">
        <f>_xlfn.NORM.DIST($C72,H$2,H$3,1)</f>
        <v>1</v>
      </c>
      <c r="J72" s="6"/>
      <c r="K72" s="6">
        <f>_xlfn.NORM.DIST($C72,K$2,K$3,0)</f>
        <v>2.592864701100592E-20</v>
      </c>
      <c r="L72" s="6">
        <f>_xlfn.NORM.DIST($C72,K$2,K$3,1)</f>
        <v>1</v>
      </c>
      <c r="M72" s="6"/>
      <c r="N72" s="6">
        <f>_xlfn.NORM.DIST($C72,N$2,N$3,0)</f>
        <v>2.9471533878270449E-5</v>
      </c>
      <c r="O72" s="6">
        <f>_xlfn.NORM.DIST($C72,N$2,N$3,1)</f>
        <v>0.9999866542509841</v>
      </c>
      <c r="P72" s="6"/>
      <c r="Q72" s="6">
        <f>_xlfn.NORM.DIST($C72,Q$2,Q$3,0)</f>
        <v>0</v>
      </c>
      <c r="R72" s="6">
        <f>_xlfn.NORM.DIST($C72,Q$2,Q$3,1)</f>
        <v>1</v>
      </c>
    </row>
    <row r="73" spans="2:18">
      <c r="B73">
        <f t="shared" si="10"/>
        <v>69</v>
      </c>
      <c r="C73" s="4">
        <f t="shared" si="11"/>
        <v>11.599999999999991</v>
      </c>
      <c r="E73" s="6">
        <f>_xlfn.NORM.DIST($C73,E$2,E$3,0)</f>
        <v>2.4075611318395745E-30</v>
      </c>
      <c r="F73" s="6">
        <f>_xlfn.NORM.DIST($C73,E$2,E$3,1)</f>
        <v>1</v>
      </c>
      <c r="G73" s="6"/>
      <c r="H73" s="6">
        <f>_xlfn.NORM.DIST($C73,H$2,H$3,0)</f>
        <v>2.0290095361772775E-98</v>
      </c>
      <c r="I73" s="6">
        <f>_xlfn.NORM.DIST($C73,H$2,H$3,1)</f>
        <v>1</v>
      </c>
      <c r="J73" s="6"/>
      <c r="K73" s="6">
        <f>_xlfn.NORM.DIST($C73,K$2,K$3,0)</f>
        <v>3.8781119317472917E-21</v>
      </c>
      <c r="L73" s="6">
        <f>_xlfn.NORM.DIST($C73,K$2,K$3,1)</f>
        <v>1</v>
      </c>
      <c r="M73" s="6"/>
      <c r="N73" s="6">
        <f>_xlfn.NORM.DIST($C73,N$2,N$3,0)</f>
        <v>1.9267598371043941E-5</v>
      </c>
      <c r="O73" s="6">
        <f>_xlfn.NORM.DIST($C73,N$2,N$3,1)</f>
        <v>0.99999146009452899</v>
      </c>
      <c r="P73" s="6"/>
      <c r="Q73" s="6">
        <f>_xlfn.NORM.DIST($C73,Q$2,Q$3,0)</f>
        <v>0</v>
      </c>
      <c r="R73" s="6">
        <f>_xlfn.NORM.DIST($C73,Q$2,Q$3,1)</f>
        <v>1</v>
      </c>
    </row>
    <row r="74" spans="2:18">
      <c r="B74">
        <f t="shared" si="10"/>
        <v>70</v>
      </c>
      <c r="C74" s="4">
        <f t="shared" si="11"/>
        <v>11.79999999999999</v>
      </c>
      <c r="E74" s="6">
        <f>_xlfn.NORM.DIST($C74,E$2,E$3,0)</f>
        <v>2.3191467772564139E-31</v>
      </c>
      <c r="F74" s="6">
        <f>_xlfn.NORM.DIST($C74,E$2,E$3,1)</f>
        <v>1</v>
      </c>
      <c r="G74" s="6"/>
      <c r="H74" s="6">
        <f>_xlfn.NORM.DIST($C74,H$2,H$3,0)</f>
        <v>3.8879737411205151E-102</v>
      </c>
      <c r="I74" s="6">
        <f>_xlfn.NORM.DIST($C74,H$2,H$3,1)</f>
        <v>1</v>
      </c>
      <c r="J74" s="6"/>
      <c r="K74" s="6">
        <f>_xlfn.NORM.DIST($C74,K$2,K$3,0)</f>
        <v>5.5730000227212855E-22</v>
      </c>
      <c r="L74" s="6">
        <f>_xlfn.NORM.DIST($C74,K$2,K$3,1)</f>
        <v>1</v>
      </c>
      <c r="M74" s="6"/>
      <c r="N74" s="6">
        <f>_xlfn.NORM.DIST($C74,N$2,N$3,0)</f>
        <v>1.2471235645027054E-5</v>
      </c>
      <c r="O74" s="6">
        <f>_xlfn.NORM.DIST($C74,N$2,N$3,1)</f>
        <v>0.99999458745609227</v>
      </c>
      <c r="P74" s="6"/>
      <c r="Q74" s="6">
        <f>_xlfn.NORM.DIST($C74,Q$2,Q$3,0)</f>
        <v>0</v>
      </c>
      <c r="R74" s="6">
        <f>_xlfn.NORM.DIST($C74,Q$2,Q$3,1)</f>
        <v>1</v>
      </c>
    </row>
    <row r="75" spans="2:18">
      <c r="B75">
        <f t="shared" si="10"/>
        <v>71</v>
      </c>
      <c r="C75" s="4">
        <f t="shared" si="11"/>
        <v>11.999999999999989</v>
      </c>
      <c r="E75" s="6">
        <f>_xlfn.NORM.DIST($C75,E$2,E$3,0)</f>
        <v>2.1463837356633353E-32</v>
      </c>
      <c r="F75" s="6">
        <f>_xlfn.NORM.DIST($C75,E$2,E$3,1)</f>
        <v>1</v>
      </c>
      <c r="G75" s="6"/>
      <c r="H75" s="6">
        <f>_xlfn.NORM.DIST($C75,H$2,H$3,0)</f>
        <v>6.3485631056534115E-106</v>
      </c>
      <c r="I75" s="6">
        <f>_xlfn.NORM.DIST($C75,H$2,H$3,1)</f>
        <v>1</v>
      </c>
      <c r="J75" s="6"/>
      <c r="K75" s="6">
        <f>_xlfn.NORM.DIST($C75,K$2,K$3,0)</f>
        <v>7.6945986267072393E-23</v>
      </c>
      <c r="L75" s="6">
        <f>_xlfn.NORM.DIST($C75,K$2,K$3,1)</f>
        <v>1</v>
      </c>
      <c r="M75" s="6"/>
      <c r="N75" s="6">
        <f>_xlfn.NORM.DIST($C75,N$2,N$3,0)</f>
        <v>7.9918705534529372E-6</v>
      </c>
      <c r="O75" s="6">
        <f>_xlfn.NORM.DIST($C75,N$2,N$3,1)</f>
        <v>0.99999660232687526</v>
      </c>
      <c r="P75" s="6"/>
      <c r="Q75" s="6">
        <f>_xlfn.NORM.DIST($C75,Q$2,Q$3,0)</f>
        <v>0</v>
      </c>
      <c r="R75" s="6">
        <f>_xlfn.NORM.DIST($C75,Q$2,Q$3,1)</f>
        <v>1</v>
      </c>
    </row>
    <row r="76" spans="2:18">
      <c r="B76">
        <f t="shared" si="10"/>
        <v>72</v>
      </c>
      <c r="C76" s="4">
        <f t="shared" si="11"/>
        <v>12.199999999999989</v>
      </c>
      <c r="E76" s="6">
        <f>_xlfn.NORM.DIST($C76,E$2,E$3,0)</f>
        <v>1.9085991346370606E-33</v>
      </c>
      <c r="F76" s="6">
        <f>_xlfn.NORM.DIST($C76,E$2,E$3,1)</f>
        <v>1</v>
      </c>
      <c r="G76" s="6"/>
      <c r="H76" s="6">
        <f>_xlfn.NORM.DIST($C76,H$2,H$3,0)</f>
        <v>8.83365515852366E-110</v>
      </c>
      <c r="I76" s="6">
        <f>_xlfn.NORM.DIST($C76,H$2,H$3,1)</f>
        <v>1</v>
      </c>
      <c r="J76" s="6"/>
      <c r="K76" s="6">
        <f>_xlfn.NORM.DIST($C76,K$2,K$3,0)</f>
        <v>1.020730559430726E-23</v>
      </c>
      <c r="L76" s="6">
        <f>_xlfn.NORM.DIST($C76,K$2,K$3,1)</f>
        <v>1</v>
      </c>
      <c r="M76" s="6"/>
      <c r="N76" s="6">
        <f>_xlfn.NORM.DIST($C76,N$2,N$3,0)</f>
        <v>5.0704260327435062E-6</v>
      </c>
      <c r="O76" s="6">
        <f>_xlfn.NORM.DIST($C76,N$2,N$3,1)</f>
        <v>0.9999978875452975</v>
      </c>
      <c r="P76" s="6"/>
      <c r="Q76" s="6">
        <f>_xlfn.NORM.DIST($C76,Q$2,Q$3,0)</f>
        <v>0</v>
      </c>
      <c r="R76" s="6">
        <f>_xlfn.NORM.DIST($C76,Q$2,Q$3,1)</f>
        <v>1</v>
      </c>
    </row>
    <row r="77" spans="2:18">
      <c r="B77">
        <f t="shared" si="10"/>
        <v>73</v>
      </c>
      <c r="C77" s="4">
        <f t="shared" si="11"/>
        <v>12.399999999999988</v>
      </c>
      <c r="E77" s="6">
        <f>_xlfn.NORM.DIST($C77,E$2,E$3,0)</f>
        <v>1.6306107348399002E-34</v>
      </c>
      <c r="F77" s="6">
        <f>_xlfn.NORM.DIST($C77,E$2,E$3,1)</f>
        <v>1</v>
      </c>
      <c r="G77" s="6"/>
      <c r="H77" s="6">
        <f>_xlfn.NORM.DIST($C77,H$2,H$3,0)</f>
        <v>1.0474138810953744E-113</v>
      </c>
      <c r="I77" s="6">
        <f>_xlfn.NORM.DIST($C77,H$2,H$3,1)</f>
        <v>1</v>
      </c>
      <c r="J77" s="6"/>
      <c r="K77" s="6">
        <f>_xlfn.NORM.DIST($C77,K$2,K$3,0)</f>
        <v>1.3009616199240794E-24</v>
      </c>
      <c r="L77" s="6">
        <f>_xlfn.NORM.DIST($C77,K$2,K$3,1)</f>
        <v>1</v>
      </c>
      <c r="M77" s="6"/>
      <c r="N77" s="6">
        <f>_xlfn.NORM.DIST($C77,N$2,N$3,0)</f>
        <v>3.1849125894336415E-6</v>
      </c>
      <c r="O77" s="6">
        <f>_xlfn.NORM.DIST($C77,N$2,N$3,1)</f>
        <v>0.99999869919254614</v>
      </c>
      <c r="P77" s="6"/>
      <c r="Q77" s="6">
        <f>_xlfn.NORM.DIST($C77,Q$2,Q$3,0)</f>
        <v>0</v>
      </c>
      <c r="R77" s="6">
        <f>_xlfn.NORM.DIST($C77,Q$2,Q$3,1)</f>
        <v>1</v>
      </c>
    </row>
    <row r="78" spans="2:18">
      <c r="B78">
        <f t="shared" si="10"/>
        <v>74</v>
      </c>
      <c r="C78" s="4">
        <f t="shared" si="11"/>
        <v>12.599999999999987</v>
      </c>
      <c r="E78" s="6">
        <f>_xlfn.NORM.DIST($C78,E$2,E$3,0)</f>
        <v>1.3384867992544972E-35</v>
      </c>
      <c r="F78" s="6">
        <f>_xlfn.NORM.DIST($C78,E$2,E$3,1)</f>
        <v>1</v>
      </c>
      <c r="G78" s="6"/>
      <c r="H78" s="6">
        <f>_xlfn.NORM.DIST($C78,H$2,H$3,0)</f>
        <v>1.0583007202175226E-117</v>
      </c>
      <c r="I78" s="6">
        <f>_xlfn.NORM.DIST($C78,H$2,H$3,1)</f>
        <v>1</v>
      </c>
      <c r="J78" s="6"/>
      <c r="K78" s="6">
        <f>_xlfn.NORM.DIST($C78,K$2,K$3,0)</f>
        <v>1.5931111327011819E-25</v>
      </c>
      <c r="L78" s="6">
        <f>_xlfn.NORM.DIST($C78,K$2,K$3,1)</f>
        <v>1</v>
      </c>
      <c r="M78" s="6"/>
      <c r="N78" s="6">
        <f>_xlfn.NORM.DIST($C78,N$2,N$3,0)</f>
        <v>1.9806495455160974E-6</v>
      </c>
      <c r="O78" s="6">
        <f>_xlfn.NORM.DIST($C78,N$2,N$3,1)</f>
        <v>0.99999920667184805</v>
      </c>
      <c r="P78" s="6"/>
      <c r="Q78" s="6">
        <f>_xlfn.NORM.DIST($C78,Q$2,Q$3,0)</f>
        <v>0</v>
      </c>
      <c r="R78" s="6">
        <f>_xlfn.NORM.DIST($C78,Q$2,Q$3,1)</f>
        <v>1</v>
      </c>
    </row>
    <row r="79" spans="2:18">
      <c r="B79">
        <f t="shared" si="10"/>
        <v>75</v>
      </c>
      <c r="C79" s="4">
        <f t="shared" si="11"/>
        <v>12.799999999999986</v>
      </c>
      <c r="E79" s="6">
        <f>_xlfn.NORM.DIST($C79,E$2,E$3,0)</f>
        <v>1.0556163502454689E-36</v>
      </c>
      <c r="F79" s="6">
        <f>_xlfn.NORM.DIST($C79,E$2,E$3,1)</f>
        <v>1</v>
      </c>
      <c r="G79" s="6"/>
      <c r="H79" s="6">
        <f>_xlfn.NORM.DIST($C79,H$2,H$3,0)</f>
        <v>9.1119796482306671E-122</v>
      </c>
      <c r="I79" s="6">
        <f>_xlfn.NORM.DIST($C79,H$2,H$3,1)</f>
        <v>1</v>
      </c>
      <c r="J79" s="6"/>
      <c r="K79" s="6">
        <f>_xlfn.NORM.DIST($C79,K$2,K$3,0)</f>
        <v>1.8743724023420894E-26</v>
      </c>
      <c r="L79" s="6">
        <f>_xlfn.NORM.DIST($C79,K$2,K$3,1)</f>
        <v>1</v>
      </c>
      <c r="M79" s="6"/>
      <c r="N79" s="6">
        <f>_xlfn.NORM.DIST($C79,N$2,N$3,0)</f>
        <v>1.2194803729467195E-6</v>
      </c>
      <c r="O79" s="6">
        <f>_xlfn.NORM.DIST($C79,N$2,N$3,1)</f>
        <v>0.99999952081672339</v>
      </c>
      <c r="P79" s="6"/>
      <c r="Q79" s="6">
        <f>_xlfn.NORM.DIST($C79,Q$2,Q$3,0)</f>
        <v>0</v>
      </c>
      <c r="R79" s="6">
        <f>_xlfn.NORM.DIST($C79,Q$2,Q$3,1)</f>
        <v>1</v>
      </c>
    </row>
    <row r="80" spans="2:18">
      <c r="B80">
        <f t="shared" si="10"/>
        <v>76</v>
      </c>
      <c r="C80" s="4">
        <f t="shared" si="11"/>
        <v>12.999999999999986</v>
      </c>
      <c r="E80" s="6">
        <f>_xlfn.NORM.DIST($C80,E$2,E$3,0)</f>
        <v>7.99882775700829E-38</v>
      </c>
      <c r="F80" s="6">
        <f>_xlfn.NORM.DIST($C80,E$2,E$3,1)</f>
        <v>1</v>
      </c>
      <c r="G80" s="6"/>
      <c r="H80" s="6">
        <f>_xlfn.NORM.DIST($C80,H$2,H$3,0)</f>
        <v>6.6854288835934763E-126</v>
      </c>
      <c r="I80" s="6">
        <f>_xlfn.NORM.DIST($C80,H$2,H$3,1)</f>
        <v>1</v>
      </c>
      <c r="J80" s="6"/>
      <c r="K80" s="6">
        <f>_xlfn.NORM.DIST($C80,K$2,K$3,0)</f>
        <v>2.1188192535096849E-27</v>
      </c>
      <c r="L80" s="6">
        <f>_xlfn.NORM.DIST($C80,K$2,K$3,1)</f>
        <v>1</v>
      </c>
      <c r="M80" s="6"/>
      <c r="N80" s="6">
        <f>_xlfn.NORM.DIST($C80,N$2,N$3,0)</f>
        <v>7.4335975736717531E-7</v>
      </c>
      <c r="O80" s="6">
        <f>_xlfn.NORM.DIST($C80,N$2,N$3,1)</f>
        <v>0.99999971334842808</v>
      </c>
      <c r="P80" s="6"/>
      <c r="Q80" s="6">
        <f>_xlfn.NORM.DIST($C80,Q$2,Q$3,0)</f>
        <v>0</v>
      </c>
      <c r="R80" s="6">
        <f>_xlfn.NORM.DIST($C80,Q$2,Q$3,1)</f>
        <v>1</v>
      </c>
    </row>
    <row r="81" spans="2:18">
      <c r="B81">
        <f t="shared" si="10"/>
        <v>77</v>
      </c>
      <c r="C81" s="4">
        <f t="shared" si="11"/>
        <v>13.199999999999985</v>
      </c>
      <c r="E81" s="6">
        <f>_xlfn.NORM.DIST($C81,E$2,E$3,0)</f>
        <v>5.8233755997376449E-39</v>
      </c>
      <c r="F81" s="6">
        <f>_xlfn.NORM.DIST($C81,E$2,E$3,1)</f>
        <v>1</v>
      </c>
      <c r="G81" s="6"/>
      <c r="H81" s="6">
        <f>_xlfn.NORM.DIST($C81,H$2,H$3,0)</f>
        <v>4.179830671819027E-130</v>
      </c>
      <c r="I81" s="6">
        <f>_xlfn.NORM.DIST($C81,H$2,H$3,1)</f>
        <v>1</v>
      </c>
      <c r="J81" s="6"/>
      <c r="K81" s="6">
        <f>_xlfn.NORM.DIST($C81,K$2,K$3,0)</f>
        <v>2.3012307088485153E-28</v>
      </c>
      <c r="L81" s="6">
        <f>_xlfn.NORM.DIST($C81,K$2,K$3,1)</f>
        <v>1</v>
      </c>
      <c r="M81" s="6"/>
      <c r="N81" s="6">
        <f>_xlfn.NORM.DIST($C81,N$2,N$3,0)</f>
        <v>4.4862175811918365E-7</v>
      </c>
      <c r="O81" s="6">
        <f>_xlfn.NORM.DIST($C81,N$2,N$3,1)</f>
        <v>0.99999983017325933</v>
      </c>
      <c r="P81" s="6"/>
      <c r="Q81" s="6">
        <f>_xlfn.NORM.DIST($C81,Q$2,Q$3,0)</f>
        <v>0</v>
      </c>
      <c r="R81" s="6">
        <f>_xlfn.NORM.DIST($C81,Q$2,Q$3,1)</f>
        <v>1</v>
      </c>
    </row>
    <row r="82" spans="2:18">
      <c r="B82">
        <f t="shared" si="10"/>
        <v>78</v>
      </c>
      <c r="C82" s="4">
        <f t="shared" si="11"/>
        <v>13.399999999999984</v>
      </c>
      <c r="E82" s="6">
        <f>_xlfn.NORM.DIST($C82,E$2,E$3,0)</f>
        <v>4.0733476775287132E-40</v>
      </c>
      <c r="F82" s="6">
        <f>_xlfn.NORM.DIST($C82,E$2,E$3,1)</f>
        <v>1</v>
      </c>
      <c r="G82" s="6"/>
      <c r="H82" s="6">
        <f>_xlfn.NORM.DIST($C82,H$2,H$3,0)</f>
        <v>2.2269013912532646E-134</v>
      </c>
      <c r="I82" s="6">
        <f>_xlfn.NORM.DIST($C82,H$2,H$3,1)</f>
        <v>1</v>
      </c>
      <c r="J82" s="6"/>
      <c r="K82" s="6">
        <f>_xlfn.NORM.DIST($C82,K$2,K$3,0)</f>
        <v>2.4013454000089796E-29</v>
      </c>
      <c r="L82" s="6">
        <f>_xlfn.NORM.DIST($C82,K$2,K$3,1)</f>
        <v>1</v>
      </c>
      <c r="M82" s="6"/>
      <c r="N82" s="6">
        <f>_xlfn.NORM.DIST($C82,N$2,N$3,0)</f>
        <v>2.6805176723489211E-7</v>
      </c>
      <c r="O82" s="6">
        <f>_xlfn.NORM.DIST($C82,N$2,N$3,1)</f>
        <v>0.99999990035573683</v>
      </c>
      <c r="P82" s="6"/>
      <c r="Q82" s="6">
        <f>_xlfn.NORM.DIST($C82,Q$2,Q$3,0)</f>
        <v>0</v>
      </c>
      <c r="R82" s="6">
        <f>_xlfn.NORM.DIST($C82,Q$2,Q$3,1)</f>
        <v>1</v>
      </c>
    </row>
    <row r="83" spans="2:18">
      <c r="B83">
        <f t="shared" si="10"/>
        <v>79</v>
      </c>
      <c r="C83" s="4">
        <f t="shared" si="11"/>
        <v>13.599999999999984</v>
      </c>
      <c r="E83" s="6">
        <f>_xlfn.NORM.DIST($C83,E$2,E$3,0)</f>
        <v>2.7375141923558921E-41</v>
      </c>
      <c r="F83" s="6">
        <f>_xlfn.NORM.DIST($C83,E$2,E$3,1)</f>
        <v>1</v>
      </c>
      <c r="G83" s="6"/>
      <c r="H83" s="6">
        <f>_xlfn.NORM.DIST($C83,H$2,H$3,0)</f>
        <v>1.0110116675088375E-138</v>
      </c>
      <c r="I83" s="6">
        <f>_xlfn.NORM.DIST($C83,H$2,H$3,1)</f>
        <v>1</v>
      </c>
      <c r="J83" s="6"/>
      <c r="K83" s="6">
        <f>_xlfn.NORM.DIST($C83,K$2,K$3,0)</f>
        <v>2.4075611318397458E-30</v>
      </c>
      <c r="L83" s="6">
        <f>_xlfn.NORM.DIST($C83,K$2,K$3,1)</f>
        <v>1</v>
      </c>
      <c r="M83" s="6"/>
      <c r="N83" s="6">
        <f>_xlfn.NORM.DIST($C83,N$2,N$3,0)</f>
        <v>1.5856746083580555E-7</v>
      </c>
      <c r="O83" s="6">
        <f>_xlfn.NORM.DIST($C83,N$2,N$3,1)</f>
        <v>0.99999994209865961</v>
      </c>
      <c r="P83" s="6"/>
      <c r="Q83" s="6">
        <f>_xlfn.NORM.DIST($C83,Q$2,Q$3,0)</f>
        <v>0</v>
      </c>
      <c r="R83" s="6">
        <f>_xlfn.NORM.DIST($C83,Q$2,Q$3,1)</f>
        <v>1</v>
      </c>
    </row>
    <row r="84" spans="2:18">
      <c r="B84">
        <f t="shared" si="10"/>
        <v>80</v>
      </c>
      <c r="C84" s="4">
        <f t="shared" si="11"/>
        <v>13.799999999999983</v>
      </c>
      <c r="E84" s="6">
        <f>_xlfn.NORM.DIST($C84,E$2,E$3,0)</f>
        <v>1.7676224102539282E-42</v>
      </c>
      <c r="F84" s="6">
        <f>_xlfn.NORM.DIST($C84,E$2,E$3,1)</f>
        <v>1</v>
      </c>
      <c r="G84" s="6"/>
      <c r="H84" s="6">
        <f>_xlfn.NORM.DIST($C84,H$2,H$3,0)</f>
        <v>3.9113279500480825E-143</v>
      </c>
      <c r="I84" s="6">
        <f>_xlfn.NORM.DIST($C84,H$2,H$3,1)</f>
        <v>1</v>
      </c>
      <c r="J84" s="6"/>
      <c r="K84" s="6">
        <f>_xlfn.NORM.DIST($C84,K$2,K$3,0)</f>
        <v>2.3191467772565785E-31</v>
      </c>
      <c r="L84" s="6">
        <f>_xlfn.NORM.DIST($C84,K$2,K$3,1)</f>
        <v>1</v>
      </c>
      <c r="M84" s="6"/>
      <c r="N84" s="6">
        <f>_xlfn.NORM.DIST($C84,N$2,N$3,0)</f>
        <v>9.2868092227768944E-8</v>
      </c>
      <c r="O84" s="6">
        <f>_xlfn.NORM.DIST($C84,N$2,N$3,1)</f>
        <v>0.99999996667955149</v>
      </c>
      <c r="P84" s="6"/>
      <c r="Q84" s="6">
        <f>_xlfn.NORM.DIST($C84,Q$2,Q$3,0)</f>
        <v>0</v>
      </c>
      <c r="R84" s="6">
        <f>_xlfn.NORM.DIST($C84,Q$2,Q$3,1)</f>
        <v>1</v>
      </c>
    </row>
    <row r="85" spans="2:18">
      <c r="B85">
        <f t="shared" si="10"/>
        <v>81</v>
      </c>
      <c r="C85" s="4">
        <f t="shared" si="11"/>
        <v>13.999999999999982</v>
      </c>
      <c r="E85" s="6">
        <f>_xlfn.NORM.DIST($C85,E$2,E$3,0)</f>
        <v>1.0966065593892519E-43</v>
      </c>
      <c r="F85" s="6">
        <f>_xlfn.NORM.DIST($C85,E$2,E$3,1)</f>
        <v>1</v>
      </c>
      <c r="G85" s="6"/>
      <c r="H85" s="6">
        <f>_xlfn.NORM.DIST($C85,H$2,H$3,0)</f>
        <v>1.2894519942807431E-147</v>
      </c>
      <c r="I85" s="6">
        <f>_xlfn.NORM.DIST($C85,H$2,H$3,1)</f>
        <v>1</v>
      </c>
      <c r="J85" s="6"/>
      <c r="K85" s="6">
        <f>_xlfn.NORM.DIST($C85,K$2,K$3,0)</f>
        <v>2.1463837356635181E-32</v>
      </c>
      <c r="L85" s="6">
        <f>_xlfn.NORM.DIST($C85,K$2,K$3,1)</f>
        <v>1</v>
      </c>
      <c r="M85" s="6"/>
      <c r="N85" s="6">
        <f>_xlfn.NORM.DIST($C85,N$2,N$3,0)</f>
        <v>5.384880021271906E-8</v>
      </c>
      <c r="O85" s="6">
        <f>_xlfn.NORM.DIST($C85,N$2,N$3,1)</f>
        <v>0.99999998101043752</v>
      </c>
      <c r="P85" s="6"/>
      <c r="Q85" s="6">
        <f>_xlfn.NORM.DIST($C85,Q$2,Q$3,0)</f>
        <v>0</v>
      </c>
      <c r="R85" s="6">
        <f>_xlfn.NORM.DIST($C85,Q$2,Q$3,1)</f>
        <v>1</v>
      </c>
    </row>
    <row r="86" spans="2:18">
      <c r="B86">
        <f t="shared" si="10"/>
        <v>82</v>
      </c>
      <c r="C86" s="4">
        <f t="shared" si="11"/>
        <v>14.199999999999982</v>
      </c>
      <c r="E86" s="6">
        <f>_xlfn.NORM.DIST($C86,E$2,E$3,0)</f>
        <v>6.5364267753203303E-45</v>
      </c>
      <c r="F86" s="6">
        <f>_xlfn.NORM.DIST($C86,E$2,E$3,1)</f>
        <v>1</v>
      </c>
      <c r="G86" s="6"/>
      <c r="H86" s="6">
        <f>_xlfn.NORM.DIST($C86,H$2,H$3,0)</f>
        <v>3.6224217086173864E-152</v>
      </c>
      <c r="I86" s="6">
        <f>_xlfn.NORM.DIST($C86,H$2,H$3,1)</f>
        <v>1</v>
      </c>
      <c r="J86" s="6"/>
      <c r="K86" s="6">
        <f>_xlfn.NORM.DIST($C86,K$2,K$3,0)</f>
        <v>1.9085991346372235E-33</v>
      </c>
      <c r="L86" s="6">
        <f>_xlfn.NORM.DIST($C86,K$2,K$3,1)</f>
        <v>1</v>
      </c>
      <c r="M86" s="6"/>
      <c r="N86" s="6">
        <f>_xlfn.NORM.DIST($C86,N$2,N$3,0)</f>
        <v>3.0913102500830822E-8</v>
      </c>
      <c r="O86" s="6">
        <f>_xlfn.NORM.DIST($C86,N$2,N$3,1)</f>
        <v>0.99999998928240974</v>
      </c>
      <c r="P86" s="6"/>
      <c r="Q86" s="6">
        <f>_xlfn.NORM.DIST($C86,Q$2,Q$3,0)</f>
        <v>0</v>
      </c>
      <c r="R86" s="6">
        <f>_xlfn.NORM.DIST($C86,Q$2,Q$3,1)</f>
        <v>1</v>
      </c>
    </row>
    <row r="87" spans="2:18">
      <c r="B87">
        <f t="shared" si="10"/>
        <v>83</v>
      </c>
      <c r="C87" s="4">
        <f t="shared" si="11"/>
        <v>14.399999999999981</v>
      </c>
      <c r="E87" s="6">
        <f>_xlfn.NORM.DIST($C87,E$2,E$3,0)</f>
        <v>3.7433305798860726E-46</v>
      </c>
      <c r="F87" s="6">
        <f>_xlfn.NORM.DIST($C87,E$2,E$3,1)</f>
        <v>1</v>
      </c>
      <c r="G87" s="6"/>
      <c r="H87" s="6">
        <f>_xlfn.NORM.DIST($C87,H$2,H$3,0)</f>
        <v>8.6717294614440855E-157</v>
      </c>
      <c r="I87" s="6">
        <f>_xlfn.NORM.DIST($C87,H$2,H$3,1)</f>
        <v>1</v>
      </c>
      <c r="J87" s="6"/>
      <c r="K87" s="6">
        <f>_xlfn.NORM.DIST($C87,K$2,K$3,0)</f>
        <v>1.6306107348400394E-34</v>
      </c>
      <c r="L87" s="6">
        <f>_xlfn.NORM.DIST($C87,K$2,K$3,1)</f>
        <v>1</v>
      </c>
      <c r="M87" s="6"/>
      <c r="N87" s="6">
        <f>_xlfn.NORM.DIST($C87,N$2,N$3,0)</f>
        <v>1.7569775474103169E-8</v>
      </c>
      <c r="O87" s="6">
        <f>_xlfn.NORM.DIST($C87,N$2,N$3,1)</f>
        <v>0.99999999400962858</v>
      </c>
      <c r="P87" s="6"/>
      <c r="Q87" s="6">
        <f>_xlfn.NORM.DIST($C87,Q$2,Q$3,0)</f>
        <v>0</v>
      </c>
      <c r="R87" s="6">
        <f>_xlfn.NORM.DIST($C87,Q$2,Q$3,1)</f>
        <v>1</v>
      </c>
    </row>
    <row r="88" spans="2:18">
      <c r="B88">
        <f t="shared" si="10"/>
        <v>84</v>
      </c>
      <c r="C88" s="4">
        <f t="shared" si="11"/>
        <v>14.59999999999998</v>
      </c>
      <c r="E88" s="6">
        <f>_xlfn.NORM.DIST($C88,E$2,E$3,0)</f>
        <v>2.0597010224095164E-47</v>
      </c>
      <c r="F88" s="6">
        <f>_xlfn.NORM.DIST($C88,E$2,E$3,1)</f>
        <v>1</v>
      </c>
      <c r="G88" s="6"/>
      <c r="H88" s="6">
        <f>_xlfn.NORM.DIST($C88,H$2,H$3,0)</f>
        <v>1.7689897472949684E-161</v>
      </c>
      <c r="I88" s="6">
        <f>_xlfn.NORM.DIST($C88,H$2,H$3,1)</f>
        <v>1</v>
      </c>
      <c r="J88" s="6"/>
      <c r="K88" s="6">
        <f>_xlfn.NORM.DIST($C88,K$2,K$3,0)</f>
        <v>1.3384867992546111E-35</v>
      </c>
      <c r="L88" s="6">
        <f>_xlfn.NORM.DIST($C88,K$2,K$3,1)</f>
        <v>1</v>
      </c>
      <c r="M88" s="6"/>
      <c r="N88" s="6">
        <f>_xlfn.NORM.DIST($C88,N$2,N$3,0)</f>
        <v>9.8865982031228967E-9</v>
      </c>
      <c r="O88" s="6">
        <f>_xlfn.NORM.DIST($C88,N$2,N$3,1)</f>
        <v>0.99999999668425399</v>
      </c>
      <c r="P88" s="6"/>
      <c r="Q88" s="6">
        <f>_xlfn.NORM.DIST($C88,Q$2,Q$3,0)</f>
        <v>0</v>
      </c>
      <c r="R88" s="6">
        <f>_xlfn.NORM.DIST($C88,Q$2,Q$3,1)</f>
        <v>1</v>
      </c>
    </row>
    <row r="89" spans="2:18">
      <c r="B89">
        <f t="shared" si="10"/>
        <v>85</v>
      </c>
      <c r="C89" s="4">
        <f t="shared" si="11"/>
        <v>14.799999999999979</v>
      </c>
      <c r="E89" s="6">
        <f>_xlfn.NORM.DIST($C89,E$2,E$3,0)</f>
        <v>1.0888759553280619E-48</v>
      </c>
      <c r="F89" s="6">
        <f>_xlfn.NORM.DIST($C89,E$2,E$3,1)</f>
        <v>1</v>
      </c>
      <c r="G89" s="6"/>
      <c r="H89" s="6">
        <f>_xlfn.NORM.DIST($C89,H$2,H$3,0)</f>
        <v>3.0750897393711935E-166</v>
      </c>
      <c r="I89" s="6">
        <f>_xlfn.NORM.DIST($C89,H$2,H$3,1)</f>
        <v>1</v>
      </c>
      <c r="J89" s="6"/>
      <c r="K89" s="6">
        <f>_xlfn.NORM.DIST($C89,K$2,K$3,0)</f>
        <v>1.0556163502455738E-36</v>
      </c>
      <c r="L89" s="6">
        <f>_xlfn.NORM.DIST($C89,K$2,K$3,1)</f>
        <v>1</v>
      </c>
      <c r="M89" s="6"/>
      <c r="N89" s="6">
        <f>_xlfn.NORM.DIST($C89,N$2,N$3,0)</f>
        <v>5.5078818123414867E-9</v>
      </c>
      <c r="O89" s="6">
        <f>_xlfn.NORM.DIST($C89,N$2,N$3,1)</f>
        <v>0.99999999818249219</v>
      </c>
      <c r="P89" s="6"/>
      <c r="Q89" s="6">
        <f>_xlfn.NORM.DIST($C89,Q$2,Q$3,0)</f>
        <v>0</v>
      </c>
      <c r="R89" s="6">
        <f>_xlfn.NORM.DIST($C89,Q$2,Q$3,1)</f>
        <v>1</v>
      </c>
    </row>
    <row r="90" spans="2:18">
      <c r="B90">
        <f t="shared" si="10"/>
        <v>86</v>
      </c>
      <c r="C90" s="4">
        <f t="shared" si="11"/>
        <v>14.999999999999979</v>
      </c>
      <c r="E90" s="6">
        <f>_xlfn.NORM.DIST($C90,E$2,E$3,0)</f>
        <v>5.5307095498461455E-50</v>
      </c>
      <c r="F90" s="6">
        <f>_xlfn.NORM.DIST($C90,E$2,E$3,1)</f>
        <v>1</v>
      </c>
      <c r="G90" s="6"/>
      <c r="H90" s="6">
        <f>_xlfn.NORM.DIST($C90,H$2,H$3,0)</f>
        <v>4.5551549574787601E-171</v>
      </c>
      <c r="I90" s="6">
        <f>_xlfn.NORM.DIST($C90,H$2,H$3,1)</f>
        <v>1</v>
      </c>
      <c r="J90" s="6"/>
      <c r="K90" s="6">
        <f>_xlfn.NORM.DIST($C90,K$2,K$3,0)</f>
        <v>7.9988277570090845E-38</v>
      </c>
      <c r="L90" s="6">
        <f>_xlfn.NORM.DIST($C90,K$2,K$3,1)</f>
        <v>1</v>
      </c>
      <c r="M90" s="6"/>
      <c r="N90" s="6">
        <f>_xlfn.NORM.DIST($C90,N$2,N$3,0)</f>
        <v>3.037941424911837E-9</v>
      </c>
      <c r="O90" s="6">
        <f>_xlfn.NORM.DIST($C90,N$2,N$3,1)</f>
        <v>0.9999999990134123</v>
      </c>
      <c r="P90" s="6"/>
      <c r="Q90" s="6">
        <f>_xlfn.NORM.DIST($C90,Q$2,Q$3,0)</f>
        <v>0</v>
      </c>
      <c r="R90" s="6">
        <f>_xlfn.NORM.DIST($C90,Q$2,Q$3,1)</f>
        <v>1</v>
      </c>
    </row>
    <row r="91" spans="2:18">
      <c r="B91">
        <f t="shared" si="10"/>
        <v>87</v>
      </c>
      <c r="C91" s="4">
        <f t="shared" si="11"/>
        <v>15.199999999999978</v>
      </c>
      <c r="E91" s="6">
        <f>_xlfn.NORM.DIST($C91,E$2,E$3,0)</f>
        <v>2.6990536443891706E-51</v>
      </c>
      <c r="F91" s="6">
        <f>_xlfn.NORM.DIST($C91,E$2,E$3,1)</f>
        <v>1</v>
      </c>
      <c r="G91" s="6"/>
      <c r="H91" s="6">
        <f>_xlfn.NORM.DIST($C91,H$2,H$3,0)</f>
        <v>5.7499146677543453E-176</v>
      </c>
      <c r="I91" s="6">
        <f>_xlfn.NORM.DIST($C91,H$2,H$3,1)</f>
        <v>1</v>
      </c>
      <c r="J91" s="6"/>
      <c r="K91" s="6">
        <f>_xlfn.NORM.DIST($C91,K$2,K$3,0)</f>
        <v>5.8233755997382237E-39</v>
      </c>
      <c r="L91" s="6">
        <f>_xlfn.NORM.DIST($C91,K$2,K$3,1)</f>
        <v>1</v>
      </c>
      <c r="M91" s="6"/>
      <c r="N91" s="6">
        <f>_xlfn.NORM.DIST($C91,N$2,N$3,0)</f>
        <v>1.6589421217737587E-9</v>
      </c>
      <c r="O91" s="6">
        <f>_xlfn.NORM.DIST($C91,N$2,N$3,1)</f>
        <v>0.99999999946965767</v>
      </c>
      <c r="P91" s="6"/>
      <c r="Q91" s="6">
        <f>_xlfn.NORM.DIST($C91,Q$2,Q$3,0)</f>
        <v>0</v>
      </c>
      <c r="R91" s="6">
        <f>_xlfn.NORM.DIST($C91,Q$2,Q$3,1)</f>
        <v>1</v>
      </c>
    </row>
    <row r="92" spans="2:18">
      <c r="B92">
        <f t="shared" si="10"/>
        <v>88</v>
      </c>
      <c r="C92" s="4">
        <f t="shared" si="11"/>
        <v>15.399999999999977</v>
      </c>
      <c r="E92" s="6">
        <f>_xlfn.NORM.DIST($C92,E$2,E$3,0)</f>
        <v>1.2655240466052194E-52</v>
      </c>
      <c r="F92" s="6">
        <f>_xlfn.NORM.DIST($C92,E$2,E$3,1)</f>
        <v>1</v>
      </c>
      <c r="G92" s="6"/>
      <c r="H92" s="6">
        <f>_xlfn.NORM.DIST($C92,H$2,H$3,0)</f>
        <v>6.1848977840365734E-181</v>
      </c>
      <c r="I92" s="6">
        <f>_xlfn.NORM.DIST($C92,H$2,H$3,1)</f>
        <v>1</v>
      </c>
      <c r="J92" s="6"/>
      <c r="K92" s="6">
        <f>_xlfn.NORM.DIST($C92,K$2,K$3,0)</f>
        <v>4.0733476775291185E-40</v>
      </c>
      <c r="L92" s="6">
        <f>_xlfn.NORM.DIST($C92,K$2,K$3,1)</f>
        <v>1</v>
      </c>
      <c r="M92" s="6"/>
      <c r="N92" s="6">
        <f>_xlfn.NORM.DIST($C92,N$2,N$3,0)</f>
        <v>8.9689195398210671E-10</v>
      </c>
      <c r="O92" s="6">
        <f>_xlfn.NORM.DIST($C92,N$2,N$3,1)</f>
        <v>0.99999999971768416</v>
      </c>
      <c r="P92" s="6"/>
      <c r="Q92" s="6">
        <f>_xlfn.NORM.DIST($C92,Q$2,Q$3,0)</f>
        <v>0</v>
      </c>
      <c r="R92" s="6">
        <f>_xlfn.NORM.DIST($C92,Q$2,Q$3,1)</f>
        <v>1</v>
      </c>
    </row>
    <row r="93" spans="2:18">
      <c r="B93">
        <f t="shared" si="10"/>
        <v>89</v>
      </c>
      <c r="C93" s="4">
        <f t="shared" si="11"/>
        <v>15.599999999999977</v>
      </c>
      <c r="E93" s="6">
        <f>_xlfn.NORM.DIST($C93,E$2,E$3,0)</f>
        <v>5.7010848909433127E-54</v>
      </c>
      <c r="F93" s="6">
        <f>_xlfn.NORM.DIST($C93,E$2,E$3,1)</f>
        <v>1</v>
      </c>
      <c r="G93" s="6"/>
      <c r="H93" s="6">
        <f>_xlfn.NORM.DIST($C93,H$2,H$3,0)</f>
        <v>5.6691315728204612E-186</v>
      </c>
      <c r="I93" s="6">
        <f>_xlfn.NORM.DIST($C93,H$2,H$3,1)</f>
        <v>1</v>
      </c>
      <c r="J93" s="6"/>
      <c r="K93" s="6">
        <f>_xlfn.NORM.DIST($C93,K$2,K$3,0)</f>
        <v>2.7375141923561639E-41</v>
      </c>
      <c r="L93" s="6">
        <f>_xlfn.NORM.DIST($C93,K$2,K$3,1)</f>
        <v>1</v>
      </c>
      <c r="M93" s="6"/>
      <c r="N93" s="6">
        <f>_xlfn.NORM.DIST($C93,N$2,N$3,0)</f>
        <v>4.8007166851565083E-10</v>
      </c>
      <c r="O93" s="6">
        <f>_xlfn.NORM.DIST($C93,N$2,N$3,1)</f>
        <v>0.99999999985117716</v>
      </c>
      <c r="P93" s="6"/>
      <c r="Q93" s="6">
        <f>_xlfn.NORM.DIST($C93,Q$2,Q$3,0)</f>
        <v>0</v>
      </c>
      <c r="R93" s="6">
        <f>_xlfn.NORM.DIST($C93,Q$2,Q$3,1)</f>
        <v>1</v>
      </c>
    </row>
    <row r="94" spans="2:18">
      <c r="B94">
        <f t="shared" si="10"/>
        <v>90</v>
      </c>
      <c r="C94" s="4">
        <f t="shared" si="11"/>
        <v>15.799999999999976</v>
      </c>
      <c r="E94" s="6">
        <f>_xlfn.NORM.DIST($C94,E$2,E$3,0)</f>
        <v>2.4675890515665411E-55</v>
      </c>
      <c r="F94" s="6">
        <f>_xlfn.NORM.DIST($C94,E$2,E$3,1)</f>
        <v>1</v>
      </c>
      <c r="G94" s="6"/>
      <c r="H94" s="6">
        <f>_xlfn.NORM.DIST($C94,H$2,H$3,0)</f>
        <v>4.4280593106810563E-191</v>
      </c>
      <c r="I94" s="6">
        <f>_xlfn.NORM.DIST($C94,H$2,H$3,1)</f>
        <v>1</v>
      </c>
      <c r="J94" s="6"/>
      <c r="K94" s="6">
        <f>_xlfn.NORM.DIST($C94,K$2,K$3,0)</f>
        <v>1.7676224102541041E-42</v>
      </c>
      <c r="L94" s="6">
        <f>_xlfn.NORM.DIST($C94,K$2,K$3,1)</f>
        <v>1</v>
      </c>
      <c r="M94" s="6"/>
      <c r="N94" s="6">
        <f>_xlfn.NORM.DIST($C94,N$2,N$3,0)</f>
        <v>2.5440701408227273E-10</v>
      </c>
      <c r="O94" s="6">
        <f>_xlfn.NORM.DIST($C94,N$2,N$3,1)</f>
        <v>0.99999999992231148</v>
      </c>
      <c r="P94" s="6"/>
      <c r="Q94" s="6">
        <f>_xlfn.NORM.DIST($C94,Q$2,Q$3,0)</f>
        <v>0</v>
      </c>
      <c r="R94" s="6">
        <f>_xlfn.NORM.DIST($C94,Q$2,Q$3,1)</f>
        <v>1</v>
      </c>
    </row>
    <row r="95" spans="2:18">
      <c r="B95">
        <f t="shared" si="10"/>
        <v>91</v>
      </c>
      <c r="C95" s="4">
        <f t="shared" si="11"/>
        <v>15.999999999999975</v>
      </c>
      <c r="E95" s="6">
        <f>_xlfn.NORM.DIST($C95,E$2,E$3,0)</f>
        <v>1.0261630727923118E-56</v>
      </c>
      <c r="F95" s="6">
        <f>_xlfn.NORM.DIST($C95,E$2,E$3,1)</f>
        <v>1</v>
      </c>
      <c r="G95" s="6"/>
      <c r="H95" s="6">
        <f>_xlfn.NORM.DIST($C95,H$2,H$3,0)</f>
        <v>2.9472922697614511E-196</v>
      </c>
      <c r="I95" s="6">
        <f>_xlfn.NORM.DIST($C95,H$2,H$3,1)</f>
        <v>1</v>
      </c>
      <c r="J95" s="6"/>
      <c r="K95" s="6">
        <f>_xlfn.NORM.DIST($C95,K$2,K$3,0)</f>
        <v>1.0966065593893452E-43</v>
      </c>
      <c r="L95" s="6">
        <f>_xlfn.NORM.DIST($C95,K$2,K$3,1)</f>
        <v>1</v>
      </c>
      <c r="M95" s="6"/>
      <c r="N95" s="6">
        <f>_xlfn.NORM.DIST($C95,N$2,N$3,0)</f>
        <v>1.334778307381535E-10</v>
      </c>
      <c r="O95" s="6">
        <f>_xlfn.NORM.DIST($C95,N$2,N$3,1)</f>
        <v>0.99999999995984001</v>
      </c>
      <c r="P95" s="6"/>
      <c r="Q95" s="6">
        <f>_xlfn.NORM.DIST($C95,Q$2,Q$3,0)</f>
        <v>0</v>
      </c>
      <c r="R95" s="6">
        <f>_xlfn.NORM.DIST($C95,Q$2,Q$3,1)</f>
        <v>1</v>
      </c>
    </row>
    <row r="96" spans="2:18">
      <c r="B96">
        <f t="shared" si="10"/>
        <v>92</v>
      </c>
      <c r="C96" s="4">
        <f t="shared" si="11"/>
        <v>16.199999999999974</v>
      </c>
      <c r="E96" s="6">
        <f>_xlfn.NORM.DIST($C96,E$2,E$3,0)</f>
        <v>4.1000405358349667E-58</v>
      </c>
      <c r="F96" s="6">
        <f>_xlfn.NORM.DIST($C96,E$2,E$3,1)</f>
        <v>1</v>
      </c>
      <c r="G96" s="6"/>
      <c r="H96" s="6">
        <f>_xlfn.NORM.DIST($C96,H$2,H$3,0)</f>
        <v>1.6716519667870644E-201</v>
      </c>
      <c r="I96" s="6">
        <f>_xlfn.NORM.DIST($C96,H$2,H$3,1)</f>
        <v>1</v>
      </c>
      <c r="J96" s="6"/>
      <c r="K96" s="6">
        <f>_xlfn.NORM.DIST($C96,K$2,K$3,0)</f>
        <v>6.53642677532098E-45</v>
      </c>
      <c r="L96" s="6">
        <f>_xlfn.NORM.DIST($C96,K$2,K$3,1)</f>
        <v>1</v>
      </c>
      <c r="M96" s="6"/>
      <c r="N96" s="6">
        <f>_xlfn.NORM.DIST($C96,N$2,N$3,0)</f>
        <v>6.9333999708271522E-11</v>
      </c>
      <c r="O96" s="6">
        <f>_xlfn.NORM.DIST($C96,N$2,N$3,1)</f>
        <v>0.99999999997944211</v>
      </c>
      <c r="P96" s="6"/>
      <c r="Q96" s="6">
        <f>_xlfn.NORM.DIST($C96,Q$2,Q$3,0)</f>
        <v>0</v>
      </c>
      <c r="R96" s="6">
        <f>_xlfn.NORM.DIST($C96,Q$2,Q$3,1)</f>
        <v>1</v>
      </c>
    </row>
    <row r="97" spans="2:18">
      <c r="B97">
        <f t="shared" si="10"/>
        <v>93</v>
      </c>
      <c r="C97" s="4">
        <f t="shared" si="11"/>
        <v>16.399999999999974</v>
      </c>
      <c r="E97" s="6">
        <f>_xlfn.NORM.DIST($C97,E$2,E$3,0)</f>
        <v>1.5739398797773159E-59</v>
      </c>
      <c r="F97" s="6">
        <f>_xlfn.NORM.DIST($C97,E$2,E$3,1)</f>
        <v>1</v>
      </c>
      <c r="G97" s="6"/>
      <c r="H97" s="6">
        <f>_xlfn.NORM.DIST($C97,H$2,H$3,0)</f>
        <v>8.0794426979181857E-207</v>
      </c>
      <c r="I97" s="6">
        <f>_xlfn.NORM.DIST($C97,H$2,H$3,1)</f>
        <v>1</v>
      </c>
      <c r="J97" s="6"/>
      <c r="K97" s="6">
        <f>_xlfn.NORM.DIST($C97,K$2,K$3,0)</f>
        <v>3.7433305798864452E-46</v>
      </c>
      <c r="L97" s="6">
        <f>_xlfn.NORM.DIST($C97,K$2,K$3,1)</f>
        <v>1</v>
      </c>
      <c r="M97" s="6"/>
      <c r="N97" s="6">
        <f>_xlfn.NORM.DIST($C97,N$2,N$3,0)</f>
        <v>3.5656640619983542E-11</v>
      </c>
      <c r="O97" s="6">
        <f>_xlfn.NORM.DIST($C97,N$2,N$3,1)</f>
        <v>0.999999999989579</v>
      </c>
      <c r="P97" s="6"/>
      <c r="Q97" s="6">
        <f>_xlfn.NORM.DIST($C97,Q$2,Q$3,0)</f>
        <v>0</v>
      </c>
      <c r="R97" s="6">
        <f>_xlfn.NORM.DIST($C97,Q$2,Q$3,1)</f>
        <v>1</v>
      </c>
    </row>
    <row r="98" spans="2:18">
      <c r="B98">
        <f t="shared" si="10"/>
        <v>94</v>
      </c>
      <c r="C98" s="4">
        <f t="shared" si="11"/>
        <v>16.599999999999973</v>
      </c>
      <c r="E98" s="6">
        <f>_xlfn.NORM.DIST($C98,E$2,E$3,0)</f>
        <v>5.8051888065315305E-61</v>
      </c>
      <c r="F98" s="6">
        <f>_xlfn.NORM.DIST($C98,E$2,E$3,1)</f>
        <v>1</v>
      </c>
      <c r="G98" s="6"/>
      <c r="H98" s="6">
        <f>_xlfn.NORM.DIST($C98,H$2,H$3,0)</f>
        <v>3.3275901458830332E-212</v>
      </c>
      <c r="I98" s="6">
        <f>_xlfn.NORM.DIST($C98,H$2,H$3,1)</f>
        <v>1</v>
      </c>
      <c r="J98" s="6"/>
      <c r="K98" s="6">
        <f>_xlfn.NORM.DIST($C98,K$2,K$3,0)</f>
        <v>2.0597010224097505E-47</v>
      </c>
      <c r="L98" s="6">
        <f>_xlfn.NORM.DIST($C98,K$2,K$3,1)</f>
        <v>1</v>
      </c>
      <c r="M98" s="6"/>
      <c r="N98" s="6">
        <f>_xlfn.NORM.DIST($C98,N$2,N$3,0)</f>
        <v>1.8154807508960615E-11</v>
      </c>
      <c r="O98" s="6">
        <f>_xlfn.NORM.DIST($C98,N$2,N$3,1)</f>
        <v>0.99999999999476907</v>
      </c>
      <c r="P98" s="6"/>
      <c r="Q98" s="6">
        <f>_xlfn.NORM.DIST($C98,Q$2,Q$3,0)</f>
        <v>0</v>
      </c>
      <c r="R98" s="6">
        <f>_xlfn.NORM.DIST($C98,Q$2,Q$3,1)</f>
        <v>1</v>
      </c>
    </row>
    <row r="99" spans="2:18">
      <c r="B99">
        <f t="shared" si="10"/>
        <v>95</v>
      </c>
      <c r="C99" s="4">
        <f t="shared" si="11"/>
        <v>16.799999999999972</v>
      </c>
      <c r="E99" s="6">
        <f>_xlfn.NORM.DIST($C99,E$2,E$3,0)</f>
        <v>2.0571823030296061E-62</v>
      </c>
      <c r="F99" s="6">
        <f>_xlfn.NORM.DIST($C99,E$2,E$3,1)</f>
        <v>1</v>
      </c>
      <c r="G99" s="6"/>
      <c r="H99" s="6">
        <f>_xlfn.NORM.DIST($C99,H$2,H$3,0)</f>
        <v>1.1678609493032431E-217</v>
      </c>
      <c r="I99" s="6">
        <f>_xlfn.NORM.DIST($C99,H$2,H$3,1)</f>
        <v>1</v>
      </c>
      <c r="J99" s="6"/>
      <c r="K99" s="6">
        <f>_xlfn.NORM.DIST($C99,K$2,K$3,0)</f>
        <v>1.0888759553281857E-48</v>
      </c>
      <c r="L99" s="6">
        <f>_xlfn.NORM.DIST($C99,K$2,K$3,1)</f>
        <v>1</v>
      </c>
      <c r="M99" s="6"/>
      <c r="N99" s="6">
        <f>_xlfn.NORM.DIST($C99,N$2,N$3,0)</f>
        <v>9.1516610850787664E-12</v>
      </c>
      <c r="O99" s="6">
        <f>_xlfn.NORM.DIST($C99,N$2,N$3,1)</f>
        <v>0.99999999999739986</v>
      </c>
      <c r="P99" s="6"/>
      <c r="Q99" s="6">
        <f>_xlfn.NORM.DIST($C99,Q$2,Q$3,0)</f>
        <v>0</v>
      </c>
      <c r="R99" s="6">
        <f>_xlfn.NORM.DIST($C99,Q$2,Q$3,1)</f>
        <v>1</v>
      </c>
    </row>
    <row r="100" spans="2:18">
      <c r="B100">
        <f t="shared" si="10"/>
        <v>96</v>
      </c>
      <c r="C100" s="4">
        <f t="shared" si="11"/>
        <v>16.999999999999972</v>
      </c>
      <c r="E100" s="6">
        <f>_xlfn.NORM.DIST($C100,E$2,E$3,0)</f>
        <v>7.0041821343219655E-64</v>
      </c>
      <c r="F100" s="6">
        <f>_xlfn.NORM.DIST($C100,E$2,E$3,1)</f>
        <v>1</v>
      </c>
      <c r="G100" s="6"/>
      <c r="H100" s="6">
        <f>_xlfn.NORM.DIST($C100,H$2,H$3,0)</f>
        <v>3.4927325135239068E-223</v>
      </c>
      <c r="I100" s="6">
        <f>_xlfn.NORM.DIST($C100,H$2,H$3,1)</f>
        <v>1</v>
      </c>
      <c r="J100" s="6"/>
      <c r="K100" s="6">
        <f>_xlfn.NORM.DIST($C100,K$2,K$3,0)</f>
        <v>5.5307095498467741E-50</v>
      </c>
      <c r="L100" s="6">
        <f>_xlfn.NORM.DIST($C100,K$2,K$3,1)</f>
        <v>1</v>
      </c>
      <c r="M100" s="6"/>
      <c r="N100" s="6">
        <f>_xlfn.NORM.DIST($C100,N$2,N$3,0)</f>
        <v>4.5673602041827516E-12</v>
      </c>
      <c r="O100" s="6">
        <f>_xlfn.NORM.DIST($C100,N$2,N$3,1)</f>
        <v>0.99999999999872013</v>
      </c>
      <c r="P100" s="6"/>
      <c r="Q100" s="6">
        <f>_xlfn.NORM.DIST($C100,Q$2,Q$3,0)</f>
        <v>0</v>
      </c>
      <c r="R100" s="6">
        <f>_xlfn.NORM.DIST($C100,Q$2,Q$3,1)</f>
        <v>1</v>
      </c>
    </row>
    <row r="101" spans="2:18">
      <c r="B101">
        <f t="shared" si="10"/>
        <v>97</v>
      </c>
      <c r="C101" s="4">
        <f t="shared" si="11"/>
        <v>17.199999999999971</v>
      </c>
      <c r="E101" s="6">
        <f>_xlfn.NORM.DIST($C101,E$2,E$3,0)</f>
        <v>2.2912385237005512E-65</v>
      </c>
      <c r="F101" s="6">
        <f>_xlfn.NORM.DIST($C101,E$2,E$3,1)</f>
        <v>1</v>
      </c>
      <c r="G101" s="6"/>
      <c r="H101" s="6">
        <f>_xlfn.NORM.DIST($C101,H$2,H$3,0)</f>
        <v>8.9012787215270052E-229</v>
      </c>
      <c r="I101" s="6">
        <f>_xlfn.NORM.DIST($C101,H$2,H$3,1)</f>
        <v>1</v>
      </c>
      <c r="J101" s="6"/>
      <c r="K101" s="6">
        <f>_xlfn.NORM.DIST($C101,K$2,K$3,0)</f>
        <v>2.6990536443894774E-51</v>
      </c>
      <c r="L101" s="6">
        <f>_xlfn.NORM.DIST($C101,K$2,K$3,1)</f>
        <v>1</v>
      </c>
      <c r="M101" s="6"/>
      <c r="N101" s="6">
        <f>_xlfn.NORM.DIST($C101,N$2,N$3,0)</f>
        <v>2.2567718386029914E-12</v>
      </c>
      <c r="O101" s="6">
        <f>_xlfn.NORM.DIST($C101,N$2,N$3,1)</f>
        <v>0.99999999999937617</v>
      </c>
      <c r="P101" s="6"/>
      <c r="Q101" s="6">
        <f>_xlfn.NORM.DIST($C101,Q$2,Q$3,0)</f>
        <v>0</v>
      </c>
      <c r="R101" s="6">
        <f>_xlfn.NORM.DIST($C101,Q$2,Q$3,1)</f>
        <v>1</v>
      </c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Normal(m,s)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Drouin</dc:creator>
  <cp:lastModifiedBy>Jerome Drouin</cp:lastModifiedBy>
  <dcterms:created xsi:type="dcterms:W3CDTF">2019-01-22T10:36:21Z</dcterms:created>
  <dcterms:modified xsi:type="dcterms:W3CDTF">2019-02-03T01:08:45Z</dcterms:modified>
</cp:coreProperties>
</file>